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un.chao\Dropbox\My Experiments\SI Eyetrack Follow up 0716\Analysis\"/>
    </mc:Choice>
  </mc:AlternateContent>
  <bookViews>
    <workbookView xWindow="0" yWindow="0" windowWidth="20430" windowHeight="7650" firstSheet="1" activeTab="3"/>
  </bookViews>
  <sheets>
    <sheet name="duration" sheetId="1" r:id="rId1"/>
    <sheet name="calculation" sheetId="2" r:id="rId2"/>
    <sheet name="17ms time stamp" sheetId="3" r:id="rId3"/>
    <sheet name="average duration" sheetId="4" r:id="rId4"/>
  </sheets>
  <functionGroups builtInGroupCount="18"/>
  <definedNames>
    <definedName name="_xlnm._FilterDatabase" localSheetId="2" hidden="1">'17ms time stamp'!$A$1:$M$72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4" i="1" l="1"/>
  <c r="D13" i="1"/>
  <c r="V73" i="4"/>
  <c r="W73" i="4"/>
  <c r="X73" i="4"/>
  <c r="Y73" i="4"/>
  <c r="U73" i="4"/>
  <c r="U3" i="4"/>
  <c r="V3" i="4"/>
  <c r="W3" i="4"/>
  <c r="X3" i="4"/>
  <c r="Y3" i="4"/>
  <c r="U4" i="4"/>
  <c r="V4" i="4"/>
  <c r="W4" i="4"/>
  <c r="X4" i="4"/>
  <c r="Y4" i="4"/>
  <c r="U5" i="4"/>
  <c r="V5" i="4"/>
  <c r="W5" i="4"/>
  <c r="X5" i="4"/>
  <c r="Y5" i="4"/>
  <c r="U6" i="4"/>
  <c r="V6" i="4"/>
  <c r="W6" i="4"/>
  <c r="X6" i="4"/>
  <c r="Y6" i="4"/>
  <c r="U7" i="4"/>
  <c r="V7" i="4"/>
  <c r="W7" i="4"/>
  <c r="X7" i="4"/>
  <c r="Y7" i="4"/>
  <c r="U8" i="4"/>
  <c r="V8" i="4"/>
  <c r="W8" i="4"/>
  <c r="X8" i="4"/>
  <c r="Y8" i="4"/>
  <c r="U9" i="4"/>
  <c r="V9" i="4"/>
  <c r="W9" i="4"/>
  <c r="X9" i="4"/>
  <c r="Y9" i="4"/>
  <c r="U10" i="4"/>
  <c r="V10" i="4"/>
  <c r="W10" i="4"/>
  <c r="X10" i="4"/>
  <c r="Y10" i="4"/>
  <c r="U11" i="4"/>
  <c r="V11" i="4"/>
  <c r="W11" i="4"/>
  <c r="X11" i="4"/>
  <c r="Y11" i="4"/>
  <c r="U12" i="4"/>
  <c r="V12" i="4"/>
  <c r="W12" i="4"/>
  <c r="X12" i="4"/>
  <c r="Y12" i="4"/>
  <c r="U13" i="4"/>
  <c r="V13" i="4"/>
  <c r="W13" i="4"/>
  <c r="X13" i="4"/>
  <c r="Y13" i="4"/>
  <c r="U14" i="4"/>
  <c r="V14" i="4"/>
  <c r="W14" i="4"/>
  <c r="X14" i="4"/>
  <c r="Y14" i="4"/>
  <c r="U15" i="4"/>
  <c r="V15" i="4"/>
  <c r="W15" i="4"/>
  <c r="X15" i="4"/>
  <c r="Y15" i="4"/>
  <c r="U16" i="4"/>
  <c r="V16" i="4"/>
  <c r="W16" i="4"/>
  <c r="X16" i="4"/>
  <c r="Y16" i="4"/>
  <c r="U17" i="4"/>
  <c r="V17" i="4"/>
  <c r="W17" i="4"/>
  <c r="X17" i="4"/>
  <c r="Y17" i="4"/>
  <c r="U18" i="4"/>
  <c r="V18" i="4"/>
  <c r="W18" i="4"/>
  <c r="X18" i="4"/>
  <c r="Y18" i="4"/>
  <c r="U19" i="4"/>
  <c r="V19" i="4"/>
  <c r="W19" i="4"/>
  <c r="X19" i="4"/>
  <c r="Y19" i="4"/>
  <c r="U20" i="4"/>
  <c r="V20" i="4"/>
  <c r="W20" i="4"/>
  <c r="X20" i="4"/>
  <c r="Y20" i="4"/>
  <c r="U21" i="4"/>
  <c r="V21" i="4"/>
  <c r="W21" i="4"/>
  <c r="X21" i="4"/>
  <c r="Y21" i="4"/>
  <c r="U22" i="4"/>
  <c r="V22" i="4"/>
  <c r="W22" i="4"/>
  <c r="X22" i="4"/>
  <c r="Y22" i="4"/>
  <c r="U23" i="4"/>
  <c r="V23" i="4"/>
  <c r="W23" i="4"/>
  <c r="X23" i="4"/>
  <c r="Y23" i="4"/>
  <c r="U24" i="4"/>
  <c r="V24" i="4"/>
  <c r="W24" i="4"/>
  <c r="X24" i="4"/>
  <c r="Y24" i="4"/>
  <c r="U25" i="4"/>
  <c r="V25" i="4"/>
  <c r="W25" i="4"/>
  <c r="X25" i="4"/>
  <c r="Y25" i="4"/>
  <c r="U26" i="4"/>
  <c r="V26" i="4"/>
  <c r="W26" i="4"/>
  <c r="X26" i="4"/>
  <c r="Y26" i="4"/>
  <c r="U27" i="4"/>
  <c r="V27" i="4"/>
  <c r="W27" i="4"/>
  <c r="X27" i="4"/>
  <c r="Y27" i="4"/>
  <c r="U28" i="4"/>
  <c r="V28" i="4"/>
  <c r="W28" i="4"/>
  <c r="X28" i="4"/>
  <c r="Y28" i="4"/>
  <c r="U29" i="4"/>
  <c r="V29" i="4"/>
  <c r="W29" i="4"/>
  <c r="X29" i="4"/>
  <c r="Y29" i="4"/>
  <c r="U30" i="4"/>
  <c r="V30" i="4"/>
  <c r="W30" i="4"/>
  <c r="X30" i="4"/>
  <c r="Y30" i="4"/>
  <c r="U31" i="4"/>
  <c r="V31" i="4"/>
  <c r="W31" i="4"/>
  <c r="X31" i="4"/>
  <c r="Y31" i="4"/>
  <c r="U32" i="4"/>
  <c r="V32" i="4"/>
  <c r="W32" i="4"/>
  <c r="X32" i="4"/>
  <c r="Y32" i="4"/>
  <c r="U33" i="4"/>
  <c r="V33" i="4"/>
  <c r="W33" i="4"/>
  <c r="X33" i="4"/>
  <c r="Y33" i="4"/>
  <c r="U34" i="4"/>
  <c r="V34" i="4"/>
  <c r="W34" i="4"/>
  <c r="X34" i="4"/>
  <c r="Y34" i="4"/>
  <c r="U35" i="4"/>
  <c r="V35" i="4"/>
  <c r="W35" i="4"/>
  <c r="X35" i="4"/>
  <c r="Y35" i="4"/>
  <c r="U36" i="4"/>
  <c r="V36" i="4"/>
  <c r="W36" i="4"/>
  <c r="X36" i="4"/>
  <c r="Y36" i="4"/>
  <c r="U37" i="4"/>
  <c r="V37" i="4"/>
  <c r="W37" i="4"/>
  <c r="X37" i="4"/>
  <c r="Y37" i="4"/>
  <c r="U38" i="4"/>
  <c r="V38" i="4"/>
  <c r="W38" i="4"/>
  <c r="X38" i="4"/>
  <c r="Y38" i="4"/>
  <c r="U39" i="4"/>
  <c r="V39" i="4"/>
  <c r="W39" i="4"/>
  <c r="X39" i="4"/>
  <c r="Y39" i="4"/>
  <c r="U40" i="4"/>
  <c r="V40" i="4"/>
  <c r="W40" i="4"/>
  <c r="X40" i="4"/>
  <c r="Y40" i="4"/>
  <c r="U41" i="4"/>
  <c r="V41" i="4"/>
  <c r="W41" i="4"/>
  <c r="X41" i="4"/>
  <c r="Y41" i="4"/>
  <c r="U42" i="4"/>
  <c r="V42" i="4"/>
  <c r="W42" i="4"/>
  <c r="X42" i="4"/>
  <c r="Y42" i="4"/>
  <c r="U43" i="4"/>
  <c r="V43" i="4"/>
  <c r="W43" i="4"/>
  <c r="X43" i="4"/>
  <c r="Y43" i="4"/>
  <c r="U44" i="4"/>
  <c r="V44" i="4"/>
  <c r="W44" i="4"/>
  <c r="X44" i="4"/>
  <c r="Y44" i="4"/>
  <c r="U45" i="4"/>
  <c r="V45" i="4"/>
  <c r="W45" i="4"/>
  <c r="X45" i="4"/>
  <c r="Y45" i="4"/>
  <c r="U46" i="4"/>
  <c r="V46" i="4"/>
  <c r="W46" i="4"/>
  <c r="X46" i="4"/>
  <c r="Y46" i="4"/>
  <c r="U47" i="4"/>
  <c r="V47" i="4"/>
  <c r="W47" i="4"/>
  <c r="X47" i="4"/>
  <c r="Y47" i="4"/>
  <c r="U48" i="4"/>
  <c r="V48" i="4"/>
  <c r="W48" i="4"/>
  <c r="X48" i="4"/>
  <c r="Y48" i="4"/>
  <c r="U49" i="4"/>
  <c r="V49" i="4"/>
  <c r="W49" i="4"/>
  <c r="X49" i="4"/>
  <c r="Y49" i="4"/>
  <c r="U50" i="4"/>
  <c r="V50" i="4"/>
  <c r="W50" i="4"/>
  <c r="X50" i="4"/>
  <c r="Y50" i="4"/>
  <c r="U51" i="4"/>
  <c r="V51" i="4"/>
  <c r="W51" i="4"/>
  <c r="X51" i="4"/>
  <c r="Y51" i="4"/>
  <c r="U52" i="4"/>
  <c r="V52" i="4"/>
  <c r="W52" i="4"/>
  <c r="X52" i="4"/>
  <c r="Y52" i="4"/>
  <c r="U53" i="4"/>
  <c r="V53" i="4"/>
  <c r="W53" i="4"/>
  <c r="X53" i="4"/>
  <c r="Y53" i="4"/>
  <c r="U54" i="4"/>
  <c r="V54" i="4"/>
  <c r="W54" i="4"/>
  <c r="X54" i="4"/>
  <c r="Y54" i="4"/>
  <c r="U55" i="4"/>
  <c r="V55" i="4"/>
  <c r="W55" i="4"/>
  <c r="X55" i="4"/>
  <c r="Y55" i="4"/>
  <c r="U56" i="4"/>
  <c r="V56" i="4"/>
  <c r="W56" i="4"/>
  <c r="X56" i="4"/>
  <c r="Y56" i="4"/>
  <c r="U57" i="4"/>
  <c r="V57" i="4"/>
  <c r="W57" i="4"/>
  <c r="X57" i="4"/>
  <c r="Y57" i="4"/>
  <c r="U58" i="4"/>
  <c r="V58" i="4"/>
  <c r="W58" i="4"/>
  <c r="X58" i="4"/>
  <c r="Y58" i="4"/>
  <c r="U59" i="4"/>
  <c r="V59" i="4"/>
  <c r="W59" i="4"/>
  <c r="X59" i="4"/>
  <c r="Y59" i="4"/>
  <c r="U60" i="4"/>
  <c r="V60" i="4"/>
  <c r="W60" i="4"/>
  <c r="X60" i="4"/>
  <c r="Y60" i="4"/>
  <c r="U61" i="4"/>
  <c r="V61" i="4"/>
  <c r="W61" i="4"/>
  <c r="X61" i="4"/>
  <c r="Y61" i="4"/>
  <c r="U62" i="4"/>
  <c r="V62" i="4"/>
  <c r="W62" i="4"/>
  <c r="X62" i="4"/>
  <c r="Y62" i="4"/>
  <c r="U63" i="4"/>
  <c r="V63" i="4"/>
  <c r="W63" i="4"/>
  <c r="X63" i="4"/>
  <c r="Y63" i="4"/>
  <c r="U64" i="4"/>
  <c r="V64" i="4"/>
  <c r="W64" i="4"/>
  <c r="X64" i="4"/>
  <c r="Y64" i="4"/>
  <c r="U65" i="4"/>
  <c r="V65" i="4"/>
  <c r="W65" i="4"/>
  <c r="X65" i="4"/>
  <c r="Y65" i="4"/>
  <c r="U66" i="4"/>
  <c r="V66" i="4"/>
  <c r="W66" i="4"/>
  <c r="X66" i="4"/>
  <c r="Y66" i="4"/>
  <c r="U67" i="4"/>
  <c r="V67" i="4"/>
  <c r="W67" i="4"/>
  <c r="X67" i="4"/>
  <c r="Y67" i="4"/>
  <c r="U68" i="4"/>
  <c r="V68" i="4"/>
  <c r="W68" i="4"/>
  <c r="X68" i="4"/>
  <c r="Y68" i="4"/>
  <c r="U69" i="4"/>
  <c r="V69" i="4"/>
  <c r="W69" i="4"/>
  <c r="X69" i="4"/>
  <c r="Y69" i="4"/>
  <c r="U70" i="4"/>
  <c r="V70" i="4"/>
  <c r="W70" i="4"/>
  <c r="X70" i="4"/>
  <c r="Y70" i="4"/>
  <c r="U71" i="4"/>
  <c r="V71" i="4"/>
  <c r="W71" i="4"/>
  <c r="X71" i="4"/>
  <c r="Y71" i="4"/>
  <c r="U72" i="4"/>
  <c r="V72" i="4"/>
  <c r="W72" i="4"/>
  <c r="X72" i="4"/>
  <c r="Y72" i="4"/>
  <c r="V2" i="4"/>
  <c r="W2" i="4"/>
  <c r="X2" i="4"/>
  <c r="Y2" i="4"/>
  <c r="U2" i="4"/>
  <c r="P3" i="4"/>
  <c r="Q3" i="4"/>
  <c r="R3" i="4"/>
  <c r="S3" i="4"/>
  <c r="T3" i="4"/>
  <c r="P4" i="4"/>
  <c r="Q4" i="4"/>
  <c r="R4" i="4"/>
  <c r="S4" i="4"/>
  <c r="T4" i="4"/>
  <c r="P5" i="4"/>
  <c r="Q5" i="4"/>
  <c r="R5" i="4"/>
  <c r="S5" i="4"/>
  <c r="T5" i="4"/>
  <c r="P6" i="4"/>
  <c r="Q6" i="4"/>
  <c r="R6" i="4"/>
  <c r="S6" i="4"/>
  <c r="T6" i="4"/>
  <c r="P7" i="4"/>
  <c r="Q7" i="4"/>
  <c r="R7" i="4"/>
  <c r="S7" i="4"/>
  <c r="T7" i="4"/>
  <c r="P8" i="4"/>
  <c r="Q8" i="4"/>
  <c r="R8" i="4"/>
  <c r="S8" i="4"/>
  <c r="T8" i="4"/>
  <c r="P9" i="4"/>
  <c r="Q9" i="4"/>
  <c r="R9" i="4"/>
  <c r="S9" i="4"/>
  <c r="T9" i="4"/>
  <c r="P10" i="4"/>
  <c r="Q10" i="4"/>
  <c r="R10" i="4"/>
  <c r="S10" i="4"/>
  <c r="T10" i="4"/>
  <c r="P11" i="4"/>
  <c r="Q11" i="4"/>
  <c r="R11" i="4"/>
  <c r="S11" i="4"/>
  <c r="T11" i="4"/>
  <c r="P12" i="4"/>
  <c r="Q12" i="4"/>
  <c r="R12" i="4"/>
  <c r="S12" i="4"/>
  <c r="T12" i="4"/>
  <c r="P13" i="4"/>
  <c r="Q13" i="4"/>
  <c r="R13" i="4"/>
  <c r="S13" i="4"/>
  <c r="T13" i="4"/>
  <c r="P14" i="4"/>
  <c r="Q14" i="4"/>
  <c r="R14" i="4"/>
  <c r="S14" i="4"/>
  <c r="T14" i="4"/>
  <c r="P15" i="4"/>
  <c r="Q15" i="4"/>
  <c r="R15" i="4"/>
  <c r="S15" i="4"/>
  <c r="T15" i="4"/>
  <c r="P16" i="4"/>
  <c r="Q16" i="4"/>
  <c r="R16" i="4"/>
  <c r="S16" i="4"/>
  <c r="T16" i="4"/>
  <c r="P17" i="4"/>
  <c r="Q17" i="4"/>
  <c r="R17" i="4"/>
  <c r="S17" i="4"/>
  <c r="T17" i="4"/>
  <c r="P18" i="4"/>
  <c r="Q18" i="4"/>
  <c r="R18" i="4"/>
  <c r="S18" i="4"/>
  <c r="T18" i="4"/>
  <c r="P19" i="4"/>
  <c r="Q19" i="4"/>
  <c r="R19" i="4"/>
  <c r="S19" i="4"/>
  <c r="T19" i="4"/>
  <c r="P20" i="4"/>
  <c r="Q20" i="4"/>
  <c r="R20" i="4"/>
  <c r="S20" i="4"/>
  <c r="T20" i="4"/>
  <c r="P21" i="4"/>
  <c r="Q21" i="4"/>
  <c r="R21" i="4"/>
  <c r="S21" i="4"/>
  <c r="T21" i="4"/>
  <c r="P22" i="4"/>
  <c r="Q22" i="4"/>
  <c r="R22" i="4"/>
  <c r="S22" i="4"/>
  <c r="T22" i="4"/>
  <c r="P23" i="4"/>
  <c r="Q23" i="4"/>
  <c r="R23" i="4"/>
  <c r="S23" i="4"/>
  <c r="T23" i="4"/>
  <c r="P24" i="4"/>
  <c r="Q24" i="4"/>
  <c r="R24" i="4"/>
  <c r="S24" i="4"/>
  <c r="T24" i="4"/>
  <c r="P25" i="4"/>
  <c r="Q25" i="4"/>
  <c r="R25" i="4"/>
  <c r="S25" i="4"/>
  <c r="T25" i="4"/>
  <c r="P26" i="4"/>
  <c r="Q26" i="4"/>
  <c r="R26" i="4"/>
  <c r="S26" i="4"/>
  <c r="T26" i="4"/>
  <c r="P27" i="4"/>
  <c r="Q27" i="4"/>
  <c r="R27" i="4"/>
  <c r="S27" i="4"/>
  <c r="T27" i="4"/>
  <c r="P28" i="4"/>
  <c r="Q28" i="4"/>
  <c r="R28" i="4"/>
  <c r="S28" i="4"/>
  <c r="T28" i="4"/>
  <c r="P29" i="4"/>
  <c r="Q29" i="4"/>
  <c r="R29" i="4"/>
  <c r="S29" i="4"/>
  <c r="T29" i="4"/>
  <c r="P30" i="4"/>
  <c r="Q30" i="4"/>
  <c r="R30" i="4"/>
  <c r="S30" i="4"/>
  <c r="T30" i="4"/>
  <c r="P31" i="4"/>
  <c r="Q31" i="4"/>
  <c r="R31" i="4"/>
  <c r="S31" i="4"/>
  <c r="T31" i="4"/>
  <c r="P32" i="4"/>
  <c r="Q32" i="4"/>
  <c r="R32" i="4"/>
  <c r="S32" i="4"/>
  <c r="T32" i="4"/>
  <c r="P33" i="4"/>
  <c r="Q33" i="4"/>
  <c r="R33" i="4"/>
  <c r="S33" i="4"/>
  <c r="T33" i="4"/>
  <c r="P34" i="4"/>
  <c r="Q34" i="4"/>
  <c r="R34" i="4"/>
  <c r="S34" i="4"/>
  <c r="T34" i="4"/>
  <c r="P35" i="4"/>
  <c r="Q35" i="4"/>
  <c r="R35" i="4"/>
  <c r="S35" i="4"/>
  <c r="T35" i="4"/>
  <c r="P36" i="4"/>
  <c r="Q36" i="4"/>
  <c r="R36" i="4"/>
  <c r="S36" i="4"/>
  <c r="T36" i="4"/>
  <c r="P37" i="4"/>
  <c r="Q37" i="4"/>
  <c r="R37" i="4"/>
  <c r="S37" i="4"/>
  <c r="T37" i="4"/>
  <c r="P38" i="4"/>
  <c r="Q38" i="4"/>
  <c r="R38" i="4"/>
  <c r="S38" i="4"/>
  <c r="T38" i="4"/>
  <c r="P39" i="4"/>
  <c r="Q39" i="4"/>
  <c r="R39" i="4"/>
  <c r="S39" i="4"/>
  <c r="T39" i="4"/>
  <c r="P40" i="4"/>
  <c r="Q40" i="4"/>
  <c r="R40" i="4"/>
  <c r="S40" i="4"/>
  <c r="T40" i="4"/>
  <c r="P41" i="4"/>
  <c r="Q41" i="4"/>
  <c r="R41" i="4"/>
  <c r="S41" i="4"/>
  <c r="T41" i="4"/>
  <c r="P42" i="4"/>
  <c r="Q42" i="4"/>
  <c r="R42" i="4"/>
  <c r="S42" i="4"/>
  <c r="T42" i="4"/>
  <c r="P43" i="4"/>
  <c r="Q43" i="4"/>
  <c r="R43" i="4"/>
  <c r="S43" i="4"/>
  <c r="T43" i="4"/>
  <c r="P44" i="4"/>
  <c r="Q44" i="4"/>
  <c r="R44" i="4"/>
  <c r="S44" i="4"/>
  <c r="T44" i="4"/>
  <c r="P45" i="4"/>
  <c r="Q45" i="4"/>
  <c r="R45" i="4"/>
  <c r="S45" i="4"/>
  <c r="T45" i="4"/>
  <c r="P46" i="4"/>
  <c r="Q46" i="4"/>
  <c r="R46" i="4"/>
  <c r="S46" i="4"/>
  <c r="T46" i="4"/>
  <c r="P47" i="4"/>
  <c r="Q47" i="4"/>
  <c r="R47" i="4"/>
  <c r="S47" i="4"/>
  <c r="T47" i="4"/>
  <c r="P48" i="4"/>
  <c r="Q48" i="4"/>
  <c r="R48" i="4"/>
  <c r="S48" i="4"/>
  <c r="T48" i="4"/>
  <c r="P49" i="4"/>
  <c r="Q49" i="4"/>
  <c r="R49" i="4"/>
  <c r="S49" i="4"/>
  <c r="T49" i="4"/>
  <c r="P50" i="4"/>
  <c r="Q50" i="4"/>
  <c r="R50" i="4"/>
  <c r="S50" i="4"/>
  <c r="T50" i="4"/>
  <c r="P51" i="4"/>
  <c r="Q51" i="4"/>
  <c r="R51" i="4"/>
  <c r="S51" i="4"/>
  <c r="T51" i="4"/>
  <c r="P52" i="4"/>
  <c r="Q52" i="4"/>
  <c r="R52" i="4"/>
  <c r="S52" i="4"/>
  <c r="T52" i="4"/>
  <c r="P53" i="4"/>
  <c r="Q53" i="4"/>
  <c r="R53" i="4"/>
  <c r="S53" i="4"/>
  <c r="T53" i="4"/>
  <c r="P54" i="4"/>
  <c r="Q54" i="4"/>
  <c r="R54" i="4"/>
  <c r="S54" i="4"/>
  <c r="T54" i="4"/>
  <c r="P55" i="4"/>
  <c r="Q55" i="4"/>
  <c r="R55" i="4"/>
  <c r="S55" i="4"/>
  <c r="T55" i="4"/>
  <c r="P56" i="4"/>
  <c r="Q56" i="4"/>
  <c r="R56" i="4"/>
  <c r="S56" i="4"/>
  <c r="T56" i="4"/>
  <c r="P57" i="4"/>
  <c r="Q57" i="4"/>
  <c r="R57" i="4"/>
  <c r="S57" i="4"/>
  <c r="T57" i="4"/>
  <c r="P58" i="4"/>
  <c r="Q58" i="4"/>
  <c r="R58" i="4"/>
  <c r="S58" i="4"/>
  <c r="T58" i="4"/>
  <c r="P59" i="4"/>
  <c r="Q59" i="4"/>
  <c r="R59" i="4"/>
  <c r="S59" i="4"/>
  <c r="T59" i="4"/>
  <c r="P60" i="4"/>
  <c r="Q60" i="4"/>
  <c r="R60" i="4"/>
  <c r="S60" i="4"/>
  <c r="T60" i="4"/>
  <c r="P61" i="4"/>
  <c r="Q61" i="4"/>
  <c r="R61" i="4"/>
  <c r="S61" i="4"/>
  <c r="T61" i="4"/>
  <c r="P62" i="4"/>
  <c r="Q62" i="4"/>
  <c r="R62" i="4"/>
  <c r="S62" i="4"/>
  <c r="T62" i="4"/>
  <c r="P63" i="4"/>
  <c r="Q63" i="4"/>
  <c r="R63" i="4"/>
  <c r="S63" i="4"/>
  <c r="T63" i="4"/>
  <c r="P64" i="4"/>
  <c r="Q64" i="4"/>
  <c r="R64" i="4"/>
  <c r="S64" i="4"/>
  <c r="T64" i="4"/>
  <c r="P65" i="4"/>
  <c r="Q65" i="4"/>
  <c r="R65" i="4"/>
  <c r="S65" i="4"/>
  <c r="T65" i="4"/>
  <c r="P66" i="4"/>
  <c r="Q66" i="4"/>
  <c r="R66" i="4"/>
  <c r="S66" i="4"/>
  <c r="T66" i="4"/>
  <c r="P67" i="4"/>
  <c r="Q67" i="4"/>
  <c r="R67" i="4"/>
  <c r="S67" i="4"/>
  <c r="T67" i="4"/>
  <c r="P68" i="4"/>
  <c r="Q68" i="4"/>
  <c r="R68" i="4"/>
  <c r="S68" i="4"/>
  <c r="T68" i="4"/>
  <c r="P69" i="4"/>
  <c r="Q69" i="4"/>
  <c r="R69" i="4"/>
  <c r="S69" i="4"/>
  <c r="T69" i="4"/>
  <c r="P70" i="4"/>
  <c r="Q70" i="4"/>
  <c r="R70" i="4"/>
  <c r="S70" i="4"/>
  <c r="T70" i="4"/>
  <c r="P71" i="4"/>
  <c r="Q71" i="4"/>
  <c r="R71" i="4"/>
  <c r="S71" i="4"/>
  <c r="T71" i="4"/>
  <c r="P72" i="4"/>
  <c r="Q72" i="4"/>
  <c r="R72" i="4"/>
  <c r="S72" i="4"/>
  <c r="T72" i="4"/>
  <c r="Q2" i="4"/>
  <c r="R2" i="4"/>
  <c r="S2" i="4"/>
  <c r="T2" i="4"/>
  <c r="P2" i="4"/>
  <c r="O3" i="4"/>
  <c r="O4" i="4"/>
  <c r="O5" i="4"/>
  <c r="O6" i="4"/>
  <c r="O7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2" i="4"/>
  <c r="N3" i="4"/>
  <c r="N4" i="4"/>
  <c r="N5" i="4"/>
  <c r="N6" i="4"/>
  <c r="N7" i="4"/>
  <c r="N8" i="4"/>
  <c r="N9" i="4"/>
  <c r="N10" i="4"/>
  <c r="N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51" i="4"/>
  <c r="N52" i="4"/>
  <c r="N53" i="4"/>
  <c r="N54" i="4"/>
  <c r="N55" i="4"/>
  <c r="N56" i="4"/>
  <c r="N57" i="4"/>
  <c r="N58" i="4"/>
  <c r="N59" i="4"/>
  <c r="N60" i="4"/>
  <c r="N61" i="4"/>
  <c r="N62" i="4"/>
  <c r="N63" i="4"/>
  <c r="N64" i="4"/>
  <c r="N65" i="4"/>
  <c r="N66" i="4"/>
  <c r="N67" i="4"/>
  <c r="N68" i="4"/>
  <c r="N69" i="4"/>
  <c r="N70" i="4"/>
  <c r="N71" i="4"/>
  <c r="N72" i="4"/>
  <c r="N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2" i="4"/>
  <c r="H3" i="3" l="1"/>
  <c r="I3" i="3"/>
  <c r="J3" i="3"/>
  <c r="K3" i="3"/>
  <c r="L3" i="3"/>
  <c r="M3" i="3"/>
  <c r="H4" i="3"/>
  <c r="I4" i="3"/>
  <c r="J4" i="3"/>
  <c r="K4" i="3"/>
  <c r="L4" i="3"/>
  <c r="M4" i="3"/>
  <c r="H5" i="3"/>
  <c r="I5" i="3"/>
  <c r="J5" i="3"/>
  <c r="K5" i="3"/>
  <c r="L5" i="3"/>
  <c r="M5" i="3"/>
  <c r="H6" i="3"/>
  <c r="I6" i="3"/>
  <c r="J6" i="3"/>
  <c r="K6" i="3"/>
  <c r="L6" i="3"/>
  <c r="M6" i="3"/>
  <c r="H7" i="3"/>
  <c r="I7" i="3"/>
  <c r="J7" i="3"/>
  <c r="K7" i="3"/>
  <c r="L7" i="3"/>
  <c r="M7" i="3"/>
  <c r="H8" i="3"/>
  <c r="I8" i="3"/>
  <c r="J8" i="3"/>
  <c r="K8" i="3"/>
  <c r="L8" i="3"/>
  <c r="M8" i="3"/>
  <c r="H9" i="3"/>
  <c r="I9" i="3"/>
  <c r="J9" i="3"/>
  <c r="K9" i="3"/>
  <c r="L9" i="3"/>
  <c r="M9" i="3"/>
  <c r="H10" i="3"/>
  <c r="I10" i="3"/>
  <c r="J10" i="3"/>
  <c r="K10" i="3"/>
  <c r="L10" i="3"/>
  <c r="M10" i="3"/>
  <c r="H11" i="3"/>
  <c r="I11" i="3"/>
  <c r="J11" i="3"/>
  <c r="K11" i="3"/>
  <c r="L11" i="3"/>
  <c r="M11" i="3"/>
  <c r="H12" i="3"/>
  <c r="I12" i="3"/>
  <c r="J12" i="3"/>
  <c r="K12" i="3"/>
  <c r="L12" i="3"/>
  <c r="M12" i="3"/>
  <c r="H13" i="3"/>
  <c r="I13" i="3"/>
  <c r="J13" i="3"/>
  <c r="K13" i="3"/>
  <c r="L13" i="3"/>
  <c r="M13" i="3"/>
  <c r="H14" i="3"/>
  <c r="I14" i="3"/>
  <c r="J14" i="3"/>
  <c r="K14" i="3"/>
  <c r="L14" i="3"/>
  <c r="M14" i="3"/>
  <c r="H15" i="3"/>
  <c r="I15" i="3"/>
  <c r="J15" i="3"/>
  <c r="K15" i="3"/>
  <c r="L15" i="3"/>
  <c r="M15" i="3"/>
  <c r="H16" i="3"/>
  <c r="I16" i="3"/>
  <c r="J16" i="3"/>
  <c r="K16" i="3"/>
  <c r="L16" i="3"/>
  <c r="M16" i="3"/>
  <c r="H17" i="3"/>
  <c r="I17" i="3"/>
  <c r="J17" i="3"/>
  <c r="K17" i="3"/>
  <c r="L17" i="3"/>
  <c r="M17" i="3"/>
  <c r="H18" i="3"/>
  <c r="I18" i="3"/>
  <c r="J18" i="3"/>
  <c r="K18" i="3"/>
  <c r="L18" i="3"/>
  <c r="M18" i="3"/>
  <c r="H19" i="3"/>
  <c r="I19" i="3"/>
  <c r="J19" i="3"/>
  <c r="K19" i="3"/>
  <c r="L19" i="3"/>
  <c r="M19" i="3"/>
  <c r="H20" i="3"/>
  <c r="I20" i="3"/>
  <c r="J20" i="3"/>
  <c r="K20" i="3"/>
  <c r="L20" i="3"/>
  <c r="M20" i="3"/>
  <c r="H21" i="3"/>
  <c r="I21" i="3"/>
  <c r="J21" i="3"/>
  <c r="K21" i="3"/>
  <c r="L21" i="3"/>
  <c r="M21" i="3"/>
  <c r="H22" i="3"/>
  <c r="I22" i="3"/>
  <c r="J22" i="3"/>
  <c r="K22" i="3"/>
  <c r="L22" i="3"/>
  <c r="M22" i="3"/>
  <c r="H23" i="3"/>
  <c r="I23" i="3"/>
  <c r="J23" i="3"/>
  <c r="K23" i="3"/>
  <c r="L23" i="3"/>
  <c r="M23" i="3"/>
  <c r="H24" i="3"/>
  <c r="I24" i="3"/>
  <c r="J24" i="3"/>
  <c r="K24" i="3"/>
  <c r="L24" i="3"/>
  <c r="M24" i="3"/>
  <c r="H25" i="3"/>
  <c r="I25" i="3"/>
  <c r="J25" i="3"/>
  <c r="K25" i="3"/>
  <c r="L25" i="3"/>
  <c r="M25" i="3"/>
  <c r="H26" i="3"/>
  <c r="I26" i="3"/>
  <c r="J26" i="3"/>
  <c r="K26" i="3"/>
  <c r="L26" i="3"/>
  <c r="M26" i="3"/>
  <c r="H27" i="3"/>
  <c r="I27" i="3"/>
  <c r="J27" i="3"/>
  <c r="K27" i="3"/>
  <c r="L27" i="3"/>
  <c r="M27" i="3"/>
  <c r="H28" i="3"/>
  <c r="I28" i="3"/>
  <c r="J28" i="3"/>
  <c r="K28" i="3"/>
  <c r="L28" i="3"/>
  <c r="M28" i="3"/>
  <c r="H29" i="3"/>
  <c r="I29" i="3"/>
  <c r="J29" i="3"/>
  <c r="K29" i="3"/>
  <c r="L29" i="3"/>
  <c r="M29" i="3"/>
  <c r="H30" i="3"/>
  <c r="I30" i="3"/>
  <c r="J30" i="3"/>
  <c r="K30" i="3"/>
  <c r="L30" i="3"/>
  <c r="M30" i="3"/>
  <c r="H31" i="3"/>
  <c r="I31" i="3"/>
  <c r="J31" i="3"/>
  <c r="K31" i="3"/>
  <c r="L31" i="3"/>
  <c r="M31" i="3"/>
  <c r="H32" i="3"/>
  <c r="I32" i="3"/>
  <c r="J32" i="3"/>
  <c r="K32" i="3"/>
  <c r="L32" i="3"/>
  <c r="M32" i="3"/>
  <c r="H33" i="3"/>
  <c r="I33" i="3"/>
  <c r="J33" i="3"/>
  <c r="K33" i="3"/>
  <c r="L33" i="3"/>
  <c r="M33" i="3"/>
  <c r="H34" i="3"/>
  <c r="I34" i="3"/>
  <c r="J34" i="3"/>
  <c r="K34" i="3"/>
  <c r="L34" i="3"/>
  <c r="M34" i="3"/>
  <c r="H35" i="3"/>
  <c r="I35" i="3"/>
  <c r="J35" i="3"/>
  <c r="K35" i="3"/>
  <c r="L35" i="3"/>
  <c r="M35" i="3"/>
  <c r="H36" i="3"/>
  <c r="I36" i="3"/>
  <c r="J36" i="3"/>
  <c r="K36" i="3"/>
  <c r="L36" i="3"/>
  <c r="M36" i="3"/>
  <c r="H37" i="3"/>
  <c r="I37" i="3"/>
  <c r="J37" i="3"/>
  <c r="K37" i="3"/>
  <c r="L37" i="3"/>
  <c r="M37" i="3"/>
  <c r="H38" i="3"/>
  <c r="I38" i="3"/>
  <c r="J38" i="3"/>
  <c r="K38" i="3"/>
  <c r="L38" i="3"/>
  <c r="M38" i="3"/>
  <c r="H39" i="3"/>
  <c r="I39" i="3"/>
  <c r="J39" i="3"/>
  <c r="K39" i="3"/>
  <c r="L39" i="3"/>
  <c r="M39" i="3"/>
  <c r="H40" i="3"/>
  <c r="I40" i="3"/>
  <c r="J40" i="3"/>
  <c r="K40" i="3"/>
  <c r="L40" i="3"/>
  <c r="M40" i="3"/>
  <c r="H41" i="3"/>
  <c r="I41" i="3"/>
  <c r="J41" i="3"/>
  <c r="K41" i="3"/>
  <c r="L41" i="3"/>
  <c r="M41" i="3"/>
  <c r="H42" i="3"/>
  <c r="I42" i="3"/>
  <c r="J42" i="3"/>
  <c r="K42" i="3"/>
  <c r="L42" i="3"/>
  <c r="M42" i="3"/>
  <c r="H43" i="3"/>
  <c r="I43" i="3"/>
  <c r="J43" i="3"/>
  <c r="K43" i="3"/>
  <c r="L43" i="3"/>
  <c r="M43" i="3"/>
  <c r="H44" i="3"/>
  <c r="I44" i="3"/>
  <c r="J44" i="3"/>
  <c r="K44" i="3"/>
  <c r="L44" i="3"/>
  <c r="M44" i="3"/>
  <c r="H45" i="3"/>
  <c r="I45" i="3"/>
  <c r="J45" i="3"/>
  <c r="K45" i="3"/>
  <c r="L45" i="3"/>
  <c r="M45" i="3"/>
  <c r="H46" i="3"/>
  <c r="I46" i="3"/>
  <c r="J46" i="3"/>
  <c r="K46" i="3"/>
  <c r="L46" i="3"/>
  <c r="M46" i="3"/>
  <c r="H47" i="3"/>
  <c r="I47" i="3"/>
  <c r="J47" i="3"/>
  <c r="K47" i="3"/>
  <c r="L47" i="3"/>
  <c r="M47" i="3"/>
  <c r="H48" i="3"/>
  <c r="I48" i="3"/>
  <c r="J48" i="3"/>
  <c r="K48" i="3"/>
  <c r="L48" i="3"/>
  <c r="M48" i="3"/>
  <c r="H49" i="3"/>
  <c r="I49" i="3"/>
  <c r="J49" i="3"/>
  <c r="K49" i="3"/>
  <c r="L49" i="3"/>
  <c r="M49" i="3"/>
  <c r="H50" i="3"/>
  <c r="I50" i="3"/>
  <c r="J50" i="3"/>
  <c r="K50" i="3"/>
  <c r="L50" i="3"/>
  <c r="M50" i="3"/>
  <c r="H51" i="3"/>
  <c r="I51" i="3"/>
  <c r="J51" i="3"/>
  <c r="K51" i="3"/>
  <c r="L51" i="3"/>
  <c r="M51" i="3"/>
  <c r="H52" i="3"/>
  <c r="I52" i="3"/>
  <c r="J52" i="3"/>
  <c r="K52" i="3"/>
  <c r="L52" i="3"/>
  <c r="M52" i="3"/>
  <c r="H53" i="3"/>
  <c r="I53" i="3"/>
  <c r="J53" i="3"/>
  <c r="K53" i="3"/>
  <c r="L53" i="3"/>
  <c r="M53" i="3"/>
  <c r="H54" i="3"/>
  <c r="I54" i="3"/>
  <c r="J54" i="3"/>
  <c r="K54" i="3"/>
  <c r="L54" i="3"/>
  <c r="M54" i="3"/>
  <c r="H55" i="3"/>
  <c r="I55" i="3"/>
  <c r="J55" i="3"/>
  <c r="K55" i="3"/>
  <c r="L55" i="3"/>
  <c r="M55" i="3"/>
  <c r="H56" i="3"/>
  <c r="I56" i="3"/>
  <c r="J56" i="3"/>
  <c r="K56" i="3"/>
  <c r="L56" i="3"/>
  <c r="M56" i="3"/>
  <c r="H57" i="3"/>
  <c r="I57" i="3"/>
  <c r="J57" i="3"/>
  <c r="K57" i="3"/>
  <c r="L57" i="3"/>
  <c r="M57" i="3"/>
  <c r="H58" i="3"/>
  <c r="I58" i="3"/>
  <c r="J58" i="3"/>
  <c r="K58" i="3"/>
  <c r="L58" i="3"/>
  <c r="M58" i="3"/>
  <c r="H59" i="3"/>
  <c r="I59" i="3"/>
  <c r="J59" i="3"/>
  <c r="K59" i="3"/>
  <c r="L59" i="3"/>
  <c r="M59" i="3"/>
  <c r="H60" i="3"/>
  <c r="I60" i="3"/>
  <c r="J60" i="3"/>
  <c r="K60" i="3"/>
  <c r="L60" i="3"/>
  <c r="M60" i="3"/>
  <c r="H61" i="3"/>
  <c r="I61" i="3"/>
  <c r="J61" i="3"/>
  <c r="K61" i="3"/>
  <c r="L61" i="3"/>
  <c r="M61" i="3"/>
  <c r="H62" i="3"/>
  <c r="I62" i="3"/>
  <c r="J62" i="3"/>
  <c r="K62" i="3"/>
  <c r="L62" i="3"/>
  <c r="M62" i="3"/>
  <c r="H63" i="3"/>
  <c r="I63" i="3"/>
  <c r="J63" i="3"/>
  <c r="K63" i="3"/>
  <c r="L63" i="3"/>
  <c r="M63" i="3"/>
  <c r="H64" i="3"/>
  <c r="I64" i="3"/>
  <c r="J64" i="3"/>
  <c r="K64" i="3"/>
  <c r="L64" i="3"/>
  <c r="M64" i="3"/>
  <c r="H65" i="3"/>
  <c r="I65" i="3"/>
  <c r="J65" i="3"/>
  <c r="K65" i="3"/>
  <c r="L65" i="3"/>
  <c r="M65" i="3"/>
  <c r="H66" i="3"/>
  <c r="I66" i="3"/>
  <c r="J66" i="3"/>
  <c r="K66" i="3"/>
  <c r="L66" i="3"/>
  <c r="M66" i="3"/>
  <c r="H67" i="3"/>
  <c r="I67" i="3"/>
  <c r="J67" i="3"/>
  <c r="K67" i="3"/>
  <c r="L67" i="3"/>
  <c r="M67" i="3"/>
  <c r="H68" i="3"/>
  <c r="I68" i="3"/>
  <c r="J68" i="3"/>
  <c r="K68" i="3"/>
  <c r="L68" i="3"/>
  <c r="M68" i="3"/>
  <c r="H69" i="3"/>
  <c r="I69" i="3"/>
  <c r="J69" i="3"/>
  <c r="K69" i="3"/>
  <c r="L69" i="3"/>
  <c r="M69" i="3"/>
  <c r="H70" i="3"/>
  <c r="I70" i="3"/>
  <c r="J70" i="3"/>
  <c r="K70" i="3"/>
  <c r="L70" i="3"/>
  <c r="M70" i="3"/>
  <c r="H71" i="3"/>
  <c r="I71" i="3"/>
  <c r="J71" i="3"/>
  <c r="K71" i="3"/>
  <c r="L71" i="3"/>
  <c r="M71" i="3"/>
  <c r="H72" i="3"/>
  <c r="I72" i="3"/>
  <c r="J72" i="3"/>
  <c r="K72" i="3"/>
  <c r="L72" i="3"/>
  <c r="M72" i="3"/>
  <c r="I2" i="3"/>
  <c r="J2" i="3"/>
  <c r="K2" i="3"/>
  <c r="L2" i="3"/>
  <c r="M2" i="3"/>
  <c r="H2" i="3"/>
  <c r="Q3" i="2"/>
  <c r="R3" i="2"/>
  <c r="S3" i="2"/>
  <c r="T3" i="2"/>
  <c r="U3" i="2"/>
  <c r="V3" i="2"/>
  <c r="Q4" i="2"/>
  <c r="R4" i="2"/>
  <c r="S4" i="2"/>
  <c r="T4" i="2"/>
  <c r="U4" i="2"/>
  <c r="V4" i="2"/>
  <c r="Q5" i="2"/>
  <c r="R5" i="2"/>
  <c r="S5" i="2"/>
  <c r="T5" i="2"/>
  <c r="U5" i="2"/>
  <c r="V5" i="2"/>
  <c r="Q6" i="2"/>
  <c r="R6" i="2"/>
  <c r="S6" i="2"/>
  <c r="T6" i="2"/>
  <c r="U6" i="2"/>
  <c r="V6" i="2"/>
  <c r="Q7" i="2"/>
  <c r="R7" i="2"/>
  <c r="S7" i="2"/>
  <c r="T7" i="2"/>
  <c r="U7" i="2"/>
  <c r="V7" i="2"/>
  <c r="Q8" i="2"/>
  <c r="R8" i="2"/>
  <c r="S8" i="2"/>
  <c r="T8" i="2"/>
  <c r="U8" i="2"/>
  <c r="V8" i="2"/>
  <c r="Q9" i="2"/>
  <c r="R9" i="2"/>
  <c r="S9" i="2"/>
  <c r="T9" i="2"/>
  <c r="U9" i="2"/>
  <c r="V9" i="2"/>
  <c r="Q10" i="2"/>
  <c r="R10" i="2"/>
  <c r="S10" i="2"/>
  <c r="T10" i="2"/>
  <c r="U10" i="2"/>
  <c r="V10" i="2"/>
  <c r="Q11" i="2"/>
  <c r="R11" i="2"/>
  <c r="S11" i="2"/>
  <c r="T11" i="2"/>
  <c r="U11" i="2"/>
  <c r="V11" i="2"/>
  <c r="Q12" i="2"/>
  <c r="R12" i="2"/>
  <c r="S12" i="2"/>
  <c r="T12" i="2"/>
  <c r="U12" i="2"/>
  <c r="V12" i="2"/>
  <c r="Q13" i="2"/>
  <c r="R13" i="2"/>
  <c r="S13" i="2"/>
  <c r="T13" i="2"/>
  <c r="U13" i="2"/>
  <c r="V13" i="2"/>
  <c r="Q14" i="2"/>
  <c r="R14" i="2"/>
  <c r="S14" i="2"/>
  <c r="T14" i="2"/>
  <c r="U14" i="2"/>
  <c r="V14" i="2"/>
  <c r="Q15" i="2"/>
  <c r="R15" i="2"/>
  <c r="S15" i="2"/>
  <c r="T15" i="2"/>
  <c r="U15" i="2"/>
  <c r="V15" i="2"/>
  <c r="Q16" i="2"/>
  <c r="R16" i="2"/>
  <c r="S16" i="2"/>
  <c r="T16" i="2"/>
  <c r="U16" i="2"/>
  <c r="V16" i="2"/>
  <c r="Q17" i="2"/>
  <c r="R17" i="2"/>
  <c r="S17" i="2"/>
  <c r="T17" i="2"/>
  <c r="U17" i="2"/>
  <c r="V17" i="2"/>
  <c r="Q18" i="2"/>
  <c r="R18" i="2"/>
  <c r="S18" i="2"/>
  <c r="T18" i="2"/>
  <c r="U18" i="2"/>
  <c r="V18" i="2"/>
  <c r="Q19" i="2"/>
  <c r="R19" i="2"/>
  <c r="S19" i="2"/>
  <c r="T19" i="2"/>
  <c r="U19" i="2"/>
  <c r="V19" i="2"/>
  <c r="Q20" i="2"/>
  <c r="R20" i="2"/>
  <c r="S20" i="2"/>
  <c r="T20" i="2"/>
  <c r="U20" i="2"/>
  <c r="V20" i="2"/>
  <c r="Q21" i="2"/>
  <c r="R21" i="2"/>
  <c r="S21" i="2"/>
  <c r="T21" i="2"/>
  <c r="U21" i="2"/>
  <c r="V21" i="2"/>
  <c r="Q22" i="2"/>
  <c r="R22" i="2"/>
  <c r="S22" i="2"/>
  <c r="T22" i="2"/>
  <c r="U22" i="2"/>
  <c r="V22" i="2"/>
  <c r="Q23" i="2"/>
  <c r="R23" i="2"/>
  <c r="S23" i="2"/>
  <c r="T23" i="2"/>
  <c r="U23" i="2"/>
  <c r="V23" i="2"/>
  <c r="Q24" i="2"/>
  <c r="R24" i="2"/>
  <c r="S24" i="2"/>
  <c r="T24" i="2"/>
  <c r="U24" i="2"/>
  <c r="V24" i="2"/>
  <c r="Q25" i="2"/>
  <c r="R25" i="2"/>
  <c r="S25" i="2"/>
  <c r="T25" i="2"/>
  <c r="U25" i="2"/>
  <c r="V25" i="2"/>
  <c r="Q26" i="2"/>
  <c r="R26" i="2"/>
  <c r="S26" i="2"/>
  <c r="T26" i="2"/>
  <c r="U26" i="2"/>
  <c r="V26" i="2"/>
  <c r="Q27" i="2"/>
  <c r="R27" i="2"/>
  <c r="S27" i="2"/>
  <c r="T27" i="2"/>
  <c r="U27" i="2"/>
  <c r="V27" i="2"/>
  <c r="Q28" i="2"/>
  <c r="R28" i="2"/>
  <c r="S28" i="2"/>
  <c r="T28" i="2"/>
  <c r="U28" i="2"/>
  <c r="V28" i="2"/>
  <c r="Q29" i="2"/>
  <c r="R29" i="2"/>
  <c r="S29" i="2"/>
  <c r="T29" i="2"/>
  <c r="U29" i="2"/>
  <c r="V29" i="2"/>
  <c r="Q30" i="2"/>
  <c r="R30" i="2"/>
  <c r="S30" i="2"/>
  <c r="T30" i="2"/>
  <c r="U30" i="2"/>
  <c r="V30" i="2"/>
  <c r="Q31" i="2"/>
  <c r="R31" i="2"/>
  <c r="S31" i="2"/>
  <c r="T31" i="2"/>
  <c r="U31" i="2"/>
  <c r="V31" i="2"/>
  <c r="Q32" i="2"/>
  <c r="R32" i="2"/>
  <c r="S32" i="2"/>
  <c r="T32" i="2"/>
  <c r="U32" i="2"/>
  <c r="V32" i="2"/>
  <c r="Q33" i="2"/>
  <c r="R33" i="2"/>
  <c r="S33" i="2"/>
  <c r="T33" i="2"/>
  <c r="U33" i="2"/>
  <c r="V33" i="2"/>
  <c r="Q34" i="2"/>
  <c r="R34" i="2"/>
  <c r="S34" i="2"/>
  <c r="T34" i="2"/>
  <c r="U34" i="2"/>
  <c r="V34" i="2"/>
  <c r="Q35" i="2"/>
  <c r="R35" i="2"/>
  <c r="S35" i="2"/>
  <c r="T35" i="2"/>
  <c r="U35" i="2"/>
  <c r="V35" i="2"/>
  <c r="Q36" i="2"/>
  <c r="R36" i="2"/>
  <c r="S36" i="2"/>
  <c r="T36" i="2"/>
  <c r="U36" i="2"/>
  <c r="V36" i="2"/>
  <c r="Q37" i="2"/>
  <c r="R37" i="2"/>
  <c r="S37" i="2"/>
  <c r="T37" i="2"/>
  <c r="U37" i="2"/>
  <c r="V37" i="2"/>
  <c r="Q38" i="2"/>
  <c r="R38" i="2"/>
  <c r="S38" i="2"/>
  <c r="T38" i="2"/>
  <c r="U38" i="2"/>
  <c r="V38" i="2"/>
  <c r="Q39" i="2"/>
  <c r="R39" i="2"/>
  <c r="S39" i="2"/>
  <c r="T39" i="2"/>
  <c r="U39" i="2"/>
  <c r="V39" i="2"/>
  <c r="Q40" i="2"/>
  <c r="R40" i="2"/>
  <c r="S40" i="2"/>
  <c r="T40" i="2"/>
  <c r="U40" i="2"/>
  <c r="V40" i="2"/>
  <c r="Q41" i="2"/>
  <c r="R41" i="2"/>
  <c r="S41" i="2"/>
  <c r="T41" i="2"/>
  <c r="U41" i="2"/>
  <c r="V41" i="2"/>
  <c r="Q42" i="2"/>
  <c r="R42" i="2"/>
  <c r="S42" i="2"/>
  <c r="T42" i="2"/>
  <c r="U42" i="2"/>
  <c r="V42" i="2"/>
  <c r="Q43" i="2"/>
  <c r="R43" i="2"/>
  <c r="S43" i="2"/>
  <c r="T43" i="2"/>
  <c r="U43" i="2"/>
  <c r="V43" i="2"/>
  <c r="Q44" i="2"/>
  <c r="R44" i="2"/>
  <c r="S44" i="2"/>
  <c r="T44" i="2"/>
  <c r="U44" i="2"/>
  <c r="V44" i="2"/>
  <c r="Q45" i="2"/>
  <c r="R45" i="2"/>
  <c r="S45" i="2"/>
  <c r="T45" i="2"/>
  <c r="U45" i="2"/>
  <c r="V45" i="2"/>
  <c r="Q46" i="2"/>
  <c r="R46" i="2"/>
  <c r="S46" i="2"/>
  <c r="T46" i="2"/>
  <c r="U46" i="2"/>
  <c r="V46" i="2"/>
  <c r="Q47" i="2"/>
  <c r="R47" i="2"/>
  <c r="S47" i="2"/>
  <c r="T47" i="2"/>
  <c r="U47" i="2"/>
  <c r="V47" i="2"/>
  <c r="Q48" i="2"/>
  <c r="R48" i="2"/>
  <c r="S48" i="2"/>
  <c r="T48" i="2"/>
  <c r="U48" i="2"/>
  <c r="V48" i="2"/>
  <c r="Q49" i="2"/>
  <c r="R49" i="2"/>
  <c r="S49" i="2"/>
  <c r="T49" i="2"/>
  <c r="U49" i="2"/>
  <c r="V49" i="2"/>
  <c r="Q50" i="2"/>
  <c r="R50" i="2"/>
  <c r="S50" i="2"/>
  <c r="T50" i="2"/>
  <c r="U50" i="2"/>
  <c r="V50" i="2"/>
  <c r="Q51" i="2"/>
  <c r="R51" i="2"/>
  <c r="S51" i="2"/>
  <c r="T51" i="2"/>
  <c r="U51" i="2"/>
  <c r="V51" i="2"/>
  <c r="Q52" i="2"/>
  <c r="R52" i="2"/>
  <c r="S52" i="2"/>
  <c r="T52" i="2"/>
  <c r="U52" i="2"/>
  <c r="V52" i="2"/>
  <c r="Q53" i="2"/>
  <c r="R53" i="2"/>
  <c r="S53" i="2"/>
  <c r="T53" i="2"/>
  <c r="U53" i="2"/>
  <c r="V53" i="2"/>
  <c r="Q54" i="2"/>
  <c r="R54" i="2"/>
  <c r="S54" i="2"/>
  <c r="T54" i="2"/>
  <c r="U54" i="2"/>
  <c r="V54" i="2"/>
  <c r="Q55" i="2"/>
  <c r="R55" i="2"/>
  <c r="S55" i="2"/>
  <c r="T55" i="2"/>
  <c r="U55" i="2"/>
  <c r="V55" i="2"/>
  <c r="Q56" i="2"/>
  <c r="R56" i="2"/>
  <c r="S56" i="2"/>
  <c r="T56" i="2"/>
  <c r="U56" i="2"/>
  <c r="V56" i="2"/>
  <c r="Q57" i="2"/>
  <c r="R57" i="2"/>
  <c r="S57" i="2"/>
  <c r="T57" i="2"/>
  <c r="U57" i="2"/>
  <c r="V57" i="2"/>
  <c r="Q58" i="2"/>
  <c r="R58" i="2"/>
  <c r="S58" i="2"/>
  <c r="T58" i="2"/>
  <c r="U58" i="2"/>
  <c r="V58" i="2"/>
  <c r="Q59" i="2"/>
  <c r="R59" i="2"/>
  <c r="S59" i="2"/>
  <c r="T59" i="2"/>
  <c r="U59" i="2"/>
  <c r="V59" i="2"/>
  <c r="Q60" i="2"/>
  <c r="R60" i="2"/>
  <c r="S60" i="2"/>
  <c r="T60" i="2"/>
  <c r="U60" i="2"/>
  <c r="V60" i="2"/>
  <c r="Q61" i="2"/>
  <c r="R61" i="2"/>
  <c r="S61" i="2"/>
  <c r="T61" i="2"/>
  <c r="U61" i="2"/>
  <c r="V61" i="2"/>
  <c r="Q62" i="2"/>
  <c r="R62" i="2"/>
  <c r="S62" i="2"/>
  <c r="T62" i="2"/>
  <c r="U62" i="2"/>
  <c r="V62" i="2"/>
  <c r="Q63" i="2"/>
  <c r="R63" i="2"/>
  <c r="S63" i="2"/>
  <c r="T63" i="2"/>
  <c r="U63" i="2"/>
  <c r="V63" i="2"/>
  <c r="Q64" i="2"/>
  <c r="R64" i="2"/>
  <c r="S64" i="2"/>
  <c r="T64" i="2"/>
  <c r="U64" i="2"/>
  <c r="V64" i="2"/>
  <c r="Q65" i="2"/>
  <c r="R65" i="2"/>
  <c r="S65" i="2"/>
  <c r="T65" i="2"/>
  <c r="U65" i="2"/>
  <c r="V65" i="2"/>
  <c r="Q66" i="2"/>
  <c r="R66" i="2"/>
  <c r="S66" i="2"/>
  <c r="T66" i="2"/>
  <c r="U66" i="2"/>
  <c r="V66" i="2"/>
  <c r="Q67" i="2"/>
  <c r="R67" i="2"/>
  <c r="S67" i="2"/>
  <c r="T67" i="2"/>
  <c r="U67" i="2"/>
  <c r="V67" i="2"/>
  <c r="Q68" i="2"/>
  <c r="R68" i="2"/>
  <c r="S68" i="2"/>
  <c r="T68" i="2"/>
  <c r="U68" i="2"/>
  <c r="V68" i="2"/>
  <c r="Q69" i="2"/>
  <c r="R69" i="2"/>
  <c r="S69" i="2"/>
  <c r="T69" i="2"/>
  <c r="U69" i="2"/>
  <c r="V69" i="2"/>
  <c r="Q70" i="2"/>
  <c r="R70" i="2"/>
  <c r="S70" i="2"/>
  <c r="T70" i="2"/>
  <c r="U70" i="2"/>
  <c r="V70" i="2"/>
  <c r="Q71" i="2"/>
  <c r="R71" i="2"/>
  <c r="S71" i="2"/>
  <c r="T71" i="2"/>
  <c r="U71" i="2"/>
  <c r="V71" i="2"/>
  <c r="Q72" i="2"/>
  <c r="R72" i="2"/>
  <c r="S72" i="2"/>
  <c r="T72" i="2"/>
  <c r="U72" i="2"/>
  <c r="V72" i="2"/>
  <c r="R2" i="2"/>
  <c r="S2" i="2"/>
  <c r="T2" i="2"/>
  <c r="U2" i="2"/>
  <c r="V2" i="2"/>
  <c r="Q2" i="2"/>
  <c r="K3" i="2"/>
  <c r="L3" i="2"/>
  <c r="M3" i="2"/>
  <c r="N3" i="2"/>
  <c r="O3" i="2"/>
  <c r="P3" i="2"/>
  <c r="K4" i="2"/>
  <c r="L4" i="2"/>
  <c r="M4" i="2"/>
  <c r="N4" i="2"/>
  <c r="O4" i="2"/>
  <c r="P4" i="2"/>
  <c r="K5" i="2"/>
  <c r="L5" i="2"/>
  <c r="M5" i="2"/>
  <c r="N5" i="2"/>
  <c r="O5" i="2"/>
  <c r="P5" i="2"/>
  <c r="K6" i="2"/>
  <c r="L6" i="2"/>
  <c r="M6" i="2"/>
  <c r="N6" i="2"/>
  <c r="O6" i="2"/>
  <c r="P6" i="2"/>
  <c r="K7" i="2"/>
  <c r="L7" i="2"/>
  <c r="M7" i="2"/>
  <c r="N7" i="2"/>
  <c r="O7" i="2"/>
  <c r="P7" i="2"/>
  <c r="K8" i="2"/>
  <c r="L8" i="2"/>
  <c r="M8" i="2"/>
  <c r="N8" i="2"/>
  <c r="O8" i="2"/>
  <c r="P8" i="2"/>
  <c r="K9" i="2"/>
  <c r="L9" i="2"/>
  <c r="M9" i="2"/>
  <c r="N9" i="2"/>
  <c r="O9" i="2"/>
  <c r="P9" i="2"/>
  <c r="K10" i="2"/>
  <c r="L10" i="2"/>
  <c r="M10" i="2"/>
  <c r="N10" i="2"/>
  <c r="O10" i="2"/>
  <c r="P10" i="2"/>
  <c r="K11" i="2"/>
  <c r="L11" i="2"/>
  <c r="M11" i="2"/>
  <c r="N11" i="2"/>
  <c r="O11" i="2"/>
  <c r="P11" i="2"/>
  <c r="K12" i="2"/>
  <c r="L12" i="2"/>
  <c r="M12" i="2"/>
  <c r="N12" i="2"/>
  <c r="O12" i="2"/>
  <c r="P12" i="2"/>
  <c r="K13" i="2"/>
  <c r="L13" i="2"/>
  <c r="M13" i="2"/>
  <c r="N13" i="2"/>
  <c r="O13" i="2"/>
  <c r="P13" i="2"/>
  <c r="K14" i="2"/>
  <c r="L14" i="2"/>
  <c r="M14" i="2"/>
  <c r="N14" i="2"/>
  <c r="O14" i="2"/>
  <c r="P14" i="2"/>
  <c r="K15" i="2"/>
  <c r="L15" i="2"/>
  <c r="M15" i="2"/>
  <c r="N15" i="2"/>
  <c r="O15" i="2"/>
  <c r="P15" i="2"/>
  <c r="K16" i="2"/>
  <c r="L16" i="2"/>
  <c r="M16" i="2"/>
  <c r="N16" i="2"/>
  <c r="O16" i="2"/>
  <c r="P16" i="2"/>
  <c r="K17" i="2"/>
  <c r="L17" i="2"/>
  <c r="M17" i="2"/>
  <c r="N17" i="2"/>
  <c r="O17" i="2"/>
  <c r="P17" i="2"/>
  <c r="K18" i="2"/>
  <c r="L18" i="2"/>
  <c r="M18" i="2"/>
  <c r="N18" i="2"/>
  <c r="O18" i="2"/>
  <c r="P18" i="2"/>
  <c r="K19" i="2"/>
  <c r="L19" i="2"/>
  <c r="M19" i="2"/>
  <c r="N19" i="2"/>
  <c r="O19" i="2"/>
  <c r="P19" i="2"/>
  <c r="K20" i="2"/>
  <c r="L20" i="2"/>
  <c r="M20" i="2"/>
  <c r="N20" i="2"/>
  <c r="O20" i="2"/>
  <c r="P20" i="2"/>
  <c r="K21" i="2"/>
  <c r="L21" i="2"/>
  <c r="M21" i="2"/>
  <c r="N21" i="2"/>
  <c r="O21" i="2"/>
  <c r="P21" i="2"/>
  <c r="K22" i="2"/>
  <c r="L22" i="2"/>
  <c r="M22" i="2"/>
  <c r="N22" i="2"/>
  <c r="O22" i="2"/>
  <c r="P22" i="2"/>
  <c r="K23" i="2"/>
  <c r="L23" i="2"/>
  <c r="M23" i="2"/>
  <c r="N23" i="2"/>
  <c r="O23" i="2"/>
  <c r="P23" i="2"/>
  <c r="K24" i="2"/>
  <c r="L24" i="2"/>
  <c r="M24" i="2"/>
  <c r="N24" i="2"/>
  <c r="O24" i="2"/>
  <c r="P24" i="2"/>
  <c r="K25" i="2"/>
  <c r="L25" i="2"/>
  <c r="M25" i="2"/>
  <c r="N25" i="2"/>
  <c r="O25" i="2"/>
  <c r="P25" i="2"/>
  <c r="K26" i="2"/>
  <c r="L26" i="2"/>
  <c r="M26" i="2"/>
  <c r="N26" i="2"/>
  <c r="O26" i="2"/>
  <c r="P26" i="2"/>
  <c r="K27" i="2"/>
  <c r="L27" i="2"/>
  <c r="M27" i="2"/>
  <c r="N27" i="2"/>
  <c r="O27" i="2"/>
  <c r="P27" i="2"/>
  <c r="K28" i="2"/>
  <c r="L28" i="2"/>
  <c r="M28" i="2"/>
  <c r="N28" i="2"/>
  <c r="O28" i="2"/>
  <c r="P28" i="2"/>
  <c r="K29" i="2"/>
  <c r="L29" i="2"/>
  <c r="M29" i="2"/>
  <c r="N29" i="2"/>
  <c r="O29" i="2"/>
  <c r="P29" i="2"/>
  <c r="K30" i="2"/>
  <c r="L30" i="2"/>
  <c r="M30" i="2"/>
  <c r="N30" i="2"/>
  <c r="O30" i="2"/>
  <c r="P30" i="2"/>
  <c r="K31" i="2"/>
  <c r="L31" i="2"/>
  <c r="M31" i="2"/>
  <c r="N31" i="2"/>
  <c r="O31" i="2"/>
  <c r="P31" i="2"/>
  <c r="K32" i="2"/>
  <c r="L32" i="2"/>
  <c r="M32" i="2"/>
  <c r="N32" i="2"/>
  <c r="O32" i="2"/>
  <c r="P32" i="2"/>
  <c r="K33" i="2"/>
  <c r="L33" i="2"/>
  <c r="M33" i="2"/>
  <c r="N33" i="2"/>
  <c r="O33" i="2"/>
  <c r="P33" i="2"/>
  <c r="K34" i="2"/>
  <c r="L34" i="2"/>
  <c r="M34" i="2"/>
  <c r="N34" i="2"/>
  <c r="O34" i="2"/>
  <c r="P34" i="2"/>
  <c r="K35" i="2"/>
  <c r="L35" i="2"/>
  <c r="M35" i="2"/>
  <c r="N35" i="2"/>
  <c r="O35" i="2"/>
  <c r="P35" i="2"/>
  <c r="K36" i="2"/>
  <c r="L36" i="2"/>
  <c r="M36" i="2"/>
  <c r="N36" i="2"/>
  <c r="O36" i="2"/>
  <c r="P36" i="2"/>
  <c r="K37" i="2"/>
  <c r="L37" i="2"/>
  <c r="M37" i="2"/>
  <c r="N37" i="2"/>
  <c r="O37" i="2"/>
  <c r="P37" i="2"/>
  <c r="K38" i="2"/>
  <c r="L38" i="2"/>
  <c r="M38" i="2"/>
  <c r="N38" i="2"/>
  <c r="O38" i="2"/>
  <c r="P38" i="2"/>
  <c r="K39" i="2"/>
  <c r="L39" i="2"/>
  <c r="M39" i="2"/>
  <c r="N39" i="2"/>
  <c r="O39" i="2"/>
  <c r="P39" i="2"/>
  <c r="K40" i="2"/>
  <c r="L40" i="2"/>
  <c r="M40" i="2"/>
  <c r="N40" i="2"/>
  <c r="O40" i="2"/>
  <c r="P40" i="2"/>
  <c r="K41" i="2"/>
  <c r="L41" i="2"/>
  <c r="M41" i="2"/>
  <c r="N41" i="2"/>
  <c r="O41" i="2"/>
  <c r="P41" i="2"/>
  <c r="K42" i="2"/>
  <c r="L42" i="2"/>
  <c r="M42" i="2"/>
  <c r="N42" i="2"/>
  <c r="O42" i="2"/>
  <c r="P42" i="2"/>
  <c r="K43" i="2"/>
  <c r="L43" i="2"/>
  <c r="M43" i="2"/>
  <c r="N43" i="2"/>
  <c r="O43" i="2"/>
  <c r="P43" i="2"/>
  <c r="K44" i="2"/>
  <c r="L44" i="2"/>
  <c r="M44" i="2"/>
  <c r="N44" i="2"/>
  <c r="O44" i="2"/>
  <c r="P44" i="2"/>
  <c r="K45" i="2"/>
  <c r="L45" i="2"/>
  <c r="M45" i="2"/>
  <c r="N45" i="2"/>
  <c r="O45" i="2"/>
  <c r="P45" i="2"/>
  <c r="K46" i="2"/>
  <c r="L46" i="2"/>
  <c r="M46" i="2"/>
  <c r="N46" i="2"/>
  <c r="O46" i="2"/>
  <c r="P46" i="2"/>
  <c r="K47" i="2"/>
  <c r="L47" i="2"/>
  <c r="M47" i="2"/>
  <c r="N47" i="2"/>
  <c r="O47" i="2"/>
  <c r="P47" i="2"/>
  <c r="K48" i="2"/>
  <c r="L48" i="2"/>
  <c r="M48" i="2"/>
  <c r="N48" i="2"/>
  <c r="O48" i="2"/>
  <c r="P48" i="2"/>
  <c r="K49" i="2"/>
  <c r="L49" i="2"/>
  <c r="M49" i="2"/>
  <c r="N49" i="2"/>
  <c r="O49" i="2"/>
  <c r="P49" i="2"/>
  <c r="K50" i="2"/>
  <c r="L50" i="2"/>
  <c r="M50" i="2"/>
  <c r="N50" i="2"/>
  <c r="O50" i="2"/>
  <c r="P50" i="2"/>
  <c r="K51" i="2"/>
  <c r="L51" i="2"/>
  <c r="M51" i="2"/>
  <c r="N51" i="2"/>
  <c r="O51" i="2"/>
  <c r="P51" i="2"/>
  <c r="K52" i="2"/>
  <c r="L52" i="2"/>
  <c r="M52" i="2"/>
  <c r="N52" i="2"/>
  <c r="O52" i="2"/>
  <c r="P52" i="2"/>
  <c r="K53" i="2"/>
  <c r="L53" i="2"/>
  <c r="M53" i="2"/>
  <c r="N53" i="2"/>
  <c r="O53" i="2"/>
  <c r="P53" i="2"/>
  <c r="K54" i="2"/>
  <c r="L54" i="2"/>
  <c r="M54" i="2"/>
  <c r="N54" i="2"/>
  <c r="O54" i="2"/>
  <c r="P54" i="2"/>
  <c r="K55" i="2"/>
  <c r="L55" i="2"/>
  <c r="M55" i="2"/>
  <c r="N55" i="2"/>
  <c r="O55" i="2"/>
  <c r="P55" i="2"/>
  <c r="K56" i="2"/>
  <c r="L56" i="2"/>
  <c r="M56" i="2"/>
  <c r="N56" i="2"/>
  <c r="O56" i="2"/>
  <c r="P56" i="2"/>
  <c r="K57" i="2"/>
  <c r="L57" i="2"/>
  <c r="M57" i="2"/>
  <c r="N57" i="2"/>
  <c r="O57" i="2"/>
  <c r="P57" i="2"/>
  <c r="K58" i="2"/>
  <c r="L58" i="2"/>
  <c r="M58" i="2"/>
  <c r="N58" i="2"/>
  <c r="O58" i="2"/>
  <c r="P58" i="2"/>
  <c r="K59" i="2"/>
  <c r="L59" i="2"/>
  <c r="M59" i="2"/>
  <c r="N59" i="2"/>
  <c r="O59" i="2"/>
  <c r="P59" i="2"/>
  <c r="K60" i="2"/>
  <c r="L60" i="2"/>
  <c r="M60" i="2"/>
  <c r="N60" i="2"/>
  <c r="O60" i="2"/>
  <c r="P60" i="2"/>
  <c r="K61" i="2"/>
  <c r="L61" i="2"/>
  <c r="M61" i="2"/>
  <c r="N61" i="2"/>
  <c r="O61" i="2"/>
  <c r="P61" i="2"/>
  <c r="K62" i="2"/>
  <c r="L62" i="2"/>
  <c r="M62" i="2"/>
  <c r="N62" i="2"/>
  <c r="O62" i="2"/>
  <c r="P62" i="2"/>
  <c r="K63" i="2"/>
  <c r="L63" i="2"/>
  <c r="M63" i="2"/>
  <c r="N63" i="2"/>
  <c r="O63" i="2"/>
  <c r="P63" i="2"/>
  <c r="K64" i="2"/>
  <c r="L64" i="2"/>
  <c r="M64" i="2"/>
  <c r="N64" i="2"/>
  <c r="O64" i="2"/>
  <c r="P64" i="2"/>
  <c r="K65" i="2"/>
  <c r="L65" i="2"/>
  <c r="M65" i="2"/>
  <c r="N65" i="2"/>
  <c r="O65" i="2"/>
  <c r="P65" i="2"/>
  <c r="K66" i="2"/>
  <c r="L66" i="2"/>
  <c r="M66" i="2"/>
  <c r="N66" i="2"/>
  <c r="O66" i="2"/>
  <c r="P66" i="2"/>
  <c r="K67" i="2"/>
  <c r="L67" i="2"/>
  <c r="M67" i="2"/>
  <c r="N67" i="2"/>
  <c r="O67" i="2"/>
  <c r="P67" i="2"/>
  <c r="K68" i="2"/>
  <c r="L68" i="2"/>
  <c r="M68" i="2"/>
  <c r="N68" i="2"/>
  <c r="O68" i="2"/>
  <c r="P68" i="2"/>
  <c r="K69" i="2"/>
  <c r="L69" i="2"/>
  <c r="M69" i="2"/>
  <c r="N69" i="2"/>
  <c r="O69" i="2"/>
  <c r="P69" i="2"/>
  <c r="K70" i="2"/>
  <c r="L70" i="2"/>
  <c r="M70" i="2"/>
  <c r="N70" i="2"/>
  <c r="O70" i="2"/>
  <c r="P70" i="2"/>
  <c r="K71" i="2"/>
  <c r="L71" i="2"/>
  <c r="M71" i="2"/>
  <c r="N71" i="2"/>
  <c r="O71" i="2"/>
  <c r="P71" i="2"/>
  <c r="K72" i="2"/>
  <c r="L72" i="2"/>
  <c r="M72" i="2"/>
  <c r="N72" i="2"/>
  <c r="O72" i="2"/>
  <c r="P72" i="2"/>
  <c r="L2" i="2"/>
  <c r="M2" i="2"/>
  <c r="N2" i="2"/>
  <c r="O2" i="2"/>
  <c r="P2" i="2"/>
  <c r="K2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49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25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" i="2"/>
  <c r="I45" i="2"/>
  <c r="I70" i="2"/>
  <c r="I22" i="2"/>
  <c r="I48" i="2"/>
  <c r="I24" i="2"/>
  <c r="I68" i="2"/>
  <c r="I65" i="2"/>
  <c r="I42" i="2"/>
  <c r="I66" i="2"/>
  <c r="I18" i="2"/>
  <c r="I33" i="2"/>
  <c r="I34" i="2"/>
  <c r="I10" i="2"/>
  <c r="I35" i="2"/>
  <c r="I36" i="2"/>
  <c r="I37" i="2"/>
  <c r="I61" i="2"/>
  <c r="I38" i="2"/>
  <c r="I62" i="2"/>
  <c r="I39" i="2"/>
  <c r="I56" i="2"/>
  <c r="I51" i="2"/>
  <c r="I52" i="2"/>
  <c r="I27" i="2"/>
  <c r="I53" i="2"/>
  <c r="I6" i="2"/>
  <c r="I54" i="2"/>
  <c r="I9" i="2"/>
  <c r="I49" i="2"/>
  <c r="H57" i="2"/>
  <c r="I57" i="2" s="1"/>
  <c r="H49" i="2"/>
  <c r="H50" i="2"/>
  <c r="I50" i="2" s="1"/>
  <c r="H68" i="2"/>
  <c r="H63" i="2"/>
  <c r="I63" i="2" s="1"/>
  <c r="H25" i="2"/>
  <c r="I25" i="2" s="1"/>
  <c r="H26" i="2"/>
  <c r="I26" i="2" s="1"/>
  <c r="H44" i="2"/>
  <c r="I44" i="2" s="1"/>
  <c r="H40" i="2"/>
  <c r="I40" i="2" s="1"/>
  <c r="H33" i="2"/>
  <c r="H34" i="2"/>
  <c r="H20" i="2"/>
  <c r="I20" i="2" s="1"/>
  <c r="H16" i="2"/>
  <c r="I16" i="2" s="1"/>
  <c r="H10" i="2"/>
  <c r="H11" i="2"/>
  <c r="I11" i="2" s="1"/>
  <c r="H2" i="2"/>
  <c r="I2" i="2" s="1"/>
  <c r="H3" i="2"/>
  <c r="I3" i="2" s="1"/>
  <c r="H58" i="2"/>
  <c r="I58" i="2" s="1"/>
  <c r="H59" i="2"/>
  <c r="I59" i="2" s="1"/>
  <c r="H51" i="2"/>
  <c r="H52" i="2"/>
  <c r="H64" i="2"/>
  <c r="I64" i="2" s="1"/>
  <c r="H69" i="2"/>
  <c r="I69" i="2" s="1"/>
  <c r="H27" i="2"/>
  <c r="H28" i="2"/>
  <c r="I28" i="2" s="1"/>
  <c r="H41" i="2"/>
  <c r="I41" i="2" s="1"/>
  <c r="H45" i="2"/>
  <c r="H35" i="2"/>
  <c r="H36" i="2"/>
  <c r="H17" i="2"/>
  <c r="I17" i="2" s="1"/>
  <c r="H21" i="2"/>
  <c r="I21" i="2" s="1"/>
  <c r="H12" i="2"/>
  <c r="I12" i="2" s="1"/>
  <c r="H13" i="2"/>
  <c r="I13" i="2" s="1"/>
  <c r="H4" i="2"/>
  <c r="I4" i="2" s="1"/>
  <c r="H5" i="2"/>
  <c r="I5" i="2" s="1"/>
  <c r="H53" i="2"/>
  <c r="H65" i="2"/>
  <c r="H42" i="2"/>
  <c r="H37" i="2"/>
  <c r="H29" i="2"/>
  <c r="I29" i="2" s="1"/>
  <c r="H30" i="2"/>
  <c r="I30" i="2" s="1"/>
  <c r="H6" i="2"/>
  <c r="H54" i="2"/>
  <c r="H55" i="2"/>
  <c r="I55" i="2" s="1"/>
  <c r="H70" i="2"/>
  <c r="H66" i="2"/>
  <c r="H60" i="2"/>
  <c r="I60" i="2" s="1"/>
  <c r="H46" i="2"/>
  <c r="I46" i="2" s="1"/>
  <c r="H31" i="2"/>
  <c r="I31" i="2" s="1"/>
  <c r="H32" i="2"/>
  <c r="I32" i="2" s="1"/>
  <c r="H14" i="2"/>
  <c r="I14" i="2" s="1"/>
  <c r="H15" i="2"/>
  <c r="I15" i="2" s="1"/>
  <c r="H7" i="2"/>
  <c r="I7" i="2" s="1"/>
  <c r="H8" i="2"/>
  <c r="I8" i="2" s="1"/>
  <c r="H22" i="2"/>
  <c r="H18" i="2"/>
  <c r="H71" i="2"/>
  <c r="I71" i="2" s="1"/>
  <c r="H67" i="2"/>
  <c r="I67" i="2" s="1"/>
  <c r="H61" i="2"/>
  <c r="H38" i="2"/>
  <c r="H43" i="2"/>
  <c r="I43" i="2" s="1"/>
  <c r="H47" i="2"/>
  <c r="I47" i="2" s="1"/>
  <c r="H23" i="2"/>
  <c r="I23" i="2" s="1"/>
  <c r="H19" i="2"/>
  <c r="I19" i="2" s="1"/>
  <c r="H72" i="2"/>
  <c r="I72" i="2" s="1"/>
  <c r="H62" i="2"/>
  <c r="H39" i="2"/>
  <c r="H48" i="2"/>
  <c r="H9" i="2"/>
  <c r="H24" i="2"/>
  <c r="H56" i="2"/>
  <c r="G57" i="2"/>
  <c r="G49" i="2"/>
  <c r="G50" i="2"/>
  <c r="G68" i="2"/>
  <c r="G63" i="2"/>
  <c r="G25" i="2"/>
  <c r="G26" i="2"/>
  <c r="G44" i="2"/>
  <c r="G40" i="2"/>
  <c r="G33" i="2"/>
  <c r="G34" i="2"/>
  <c r="G20" i="2"/>
  <c r="G16" i="2"/>
  <c r="G10" i="2"/>
  <c r="G11" i="2"/>
  <c r="G2" i="2"/>
  <c r="G3" i="2"/>
  <c r="G58" i="2"/>
  <c r="G59" i="2"/>
  <c r="G51" i="2"/>
  <c r="G52" i="2"/>
  <c r="G64" i="2"/>
  <c r="G69" i="2"/>
  <c r="G27" i="2"/>
  <c r="G28" i="2"/>
  <c r="G41" i="2"/>
  <c r="G45" i="2"/>
  <c r="G35" i="2"/>
  <c r="G36" i="2"/>
  <c r="G17" i="2"/>
  <c r="G21" i="2"/>
  <c r="G12" i="2"/>
  <c r="G13" i="2"/>
  <c r="G4" i="2"/>
  <c r="G5" i="2"/>
  <c r="G53" i="2"/>
  <c r="G65" i="2"/>
  <c r="G42" i="2"/>
  <c r="G37" i="2"/>
  <c r="G29" i="2"/>
  <c r="G30" i="2"/>
  <c r="G6" i="2"/>
  <c r="G54" i="2"/>
  <c r="G55" i="2"/>
  <c r="G70" i="2"/>
  <c r="G66" i="2"/>
  <c r="G60" i="2"/>
  <c r="G46" i="2"/>
  <c r="G31" i="2"/>
  <c r="G32" i="2"/>
  <c r="G14" i="2"/>
  <c r="G15" i="2"/>
  <c r="G7" i="2"/>
  <c r="G8" i="2"/>
  <c r="G22" i="2"/>
  <c r="G18" i="2"/>
  <c r="G71" i="2"/>
  <c r="G67" i="2"/>
  <c r="G61" i="2"/>
  <c r="G38" i="2"/>
  <c r="G43" i="2"/>
  <c r="G47" i="2"/>
  <c r="G23" i="2"/>
  <c r="G19" i="2"/>
  <c r="G72" i="2"/>
  <c r="G62" i="2"/>
  <c r="G39" i="2"/>
  <c r="G48" i="2"/>
  <c r="G9" i="2"/>
  <c r="G24" i="2"/>
  <c r="G56" i="2"/>
  <c r="H9" i="1" l="1"/>
  <c r="H3" i="1"/>
</calcChain>
</file>

<file path=xl/sharedStrings.xml><?xml version="1.0" encoding="utf-8"?>
<sst xmlns="http://schemas.openxmlformats.org/spreadsheetml/2006/main" count="743" uniqueCount="156">
  <si>
    <t>Prime</t>
  </si>
  <si>
    <t>duration</t>
  </si>
  <si>
    <t>Point to the</t>
  </si>
  <si>
    <t>girl that has</t>
  </si>
  <si>
    <t>600ms</t>
  </si>
  <si>
    <t>quantifier of</t>
  </si>
  <si>
    <t>of-POD</t>
  </si>
  <si>
    <t>800ms</t>
  </si>
  <si>
    <t>quantifier-POD</t>
  </si>
  <si>
    <t>all of</t>
  </si>
  <si>
    <t>some of</t>
  </si>
  <si>
    <t xml:space="preserve">three of </t>
  </si>
  <si>
    <t xml:space="preserve">two of </t>
  </si>
  <si>
    <t>one of</t>
  </si>
  <si>
    <t>four of</t>
  </si>
  <si>
    <t>Susan's</t>
  </si>
  <si>
    <t>Michael's</t>
  </si>
  <si>
    <t>Amy's</t>
  </si>
  <si>
    <t>apples</t>
  </si>
  <si>
    <t>oranges</t>
  </si>
  <si>
    <t>pears</t>
  </si>
  <si>
    <t>bananas</t>
  </si>
  <si>
    <t>scissors</t>
  </si>
  <si>
    <t>pencils</t>
  </si>
  <si>
    <t>erasers</t>
  </si>
  <si>
    <t>rulers</t>
  </si>
  <si>
    <t>spoons</t>
  </si>
  <si>
    <t>forks</t>
  </si>
  <si>
    <t>knives</t>
  </si>
  <si>
    <t>plates</t>
  </si>
  <si>
    <t>Click on the [gender] that has</t>
  </si>
  <si>
    <t>Huang &amp; Snedeker</t>
  </si>
  <si>
    <t>Window</t>
  </si>
  <si>
    <t>objects</t>
  </si>
  <si>
    <t>click_onset</t>
  </si>
  <si>
    <t>gender_onset</t>
  </si>
  <si>
    <t>determiner_onset</t>
  </si>
  <si>
    <t>name_onset</t>
  </si>
  <si>
    <t>noun_onset</t>
  </si>
  <si>
    <t>Determiner</t>
  </si>
  <si>
    <t>Name</t>
  </si>
  <si>
    <t>Noun</t>
  </si>
  <si>
    <t>BoySomeSusanPears</t>
  </si>
  <si>
    <t>BoySomeSusanOranges</t>
  </si>
  <si>
    <t>BoyAllSusanPears</t>
  </si>
  <si>
    <t>GirlAllSusanBananas</t>
  </si>
  <si>
    <t>GirlTwoSusanBananas</t>
  </si>
  <si>
    <t>GirlThreeSusanPears</t>
  </si>
  <si>
    <t>BoyAllMichaelScissors</t>
  </si>
  <si>
    <t>GirlAllMichaelRulers</t>
  </si>
  <si>
    <t>GirlTwoMichaelRulers</t>
  </si>
  <si>
    <t>GirlThreeMichaelScissors</t>
  </si>
  <si>
    <t>BoySomeMichaelErasers</t>
  </si>
  <si>
    <t>BoySomeMichaelScissors</t>
  </si>
  <si>
    <t>GirlTwoAmyForks</t>
  </si>
  <si>
    <t>BoyThreeAmyKnives</t>
  </si>
  <si>
    <t>GirlSomeAmyKnives</t>
  </si>
  <si>
    <t>GirlSomeAmyPlates</t>
  </si>
  <si>
    <t>BoyAllAmyForks</t>
  </si>
  <si>
    <t>BoyAllAmyKnives</t>
  </si>
  <si>
    <t>GirlSomeSusanBananas</t>
  </si>
  <si>
    <t>GirlSomeSusanApples</t>
  </si>
  <si>
    <t>BoyAllSusanOranges</t>
  </si>
  <si>
    <t>BoyAllSusanApples</t>
  </si>
  <si>
    <t>GirlThreeSusanOranges</t>
  </si>
  <si>
    <t>BoyTwoSusanApples</t>
  </si>
  <si>
    <t>GirlAllMichaelPencils</t>
  </si>
  <si>
    <t>GirlAllMichaelErasers</t>
  </si>
  <si>
    <t>BoyThreeMichaelErasers</t>
  </si>
  <si>
    <t>BoyTwoMichaelPencils</t>
  </si>
  <si>
    <t>BoySomeMichaelPencils</t>
  </si>
  <si>
    <t>GirlSomeMichaelRulers</t>
  </si>
  <si>
    <t>BoyThreeAmyPlates</t>
  </si>
  <si>
    <t>BoyTwoAmySpoons</t>
  </si>
  <si>
    <t>BoySomeAmySpoons</t>
  </si>
  <si>
    <t>GirlSomeAmyForks</t>
  </si>
  <si>
    <t>GirlAllAmyPlates</t>
  </si>
  <si>
    <t>GirlAllAmySpoons</t>
  </si>
  <si>
    <t>BoyAllSusanBananas</t>
  </si>
  <si>
    <t>GirlThreeSusanBananas</t>
  </si>
  <si>
    <t>GirlThreeMichaelRulers</t>
  </si>
  <si>
    <t>GirlSomeMichaelPencils</t>
  </si>
  <si>
    <t>BoyAllMichaelPencils</t>
  </si>
  <si>
    <t>BoyAllMichaelRulers</t>
  </si>
  <si>
    <t>GirlAllAmyForks</t>
  </si>
  <si>
    <t>GirlAllSusanPears</t>
  </si>
  <si>
    <t>GirlAllSusanOranges</t>
  </si>
  <si>
    <t>BoyTwoSusanOranges</t>
  </si>
  <si>
    <t>BoyThreeSusanPears</t>
  </si>
  <si>
    <t>GirlSomeSusanOranges</t>
  </si>
  <si>
    <t>GirlTwoMichaelErasers</t>
  </si>
  <si>
    <t>BoyAllMichaelErasers</t>
  </si>
  <si>
    <t>GirlAllMichaelScissors</t>
  </si>
  <si>
    <t>BoySomeAmyPlates</t>
  </si>
  <si>
    <t>BoySomeAmyKnives</t>
  </si>
  <si>
    <t>BoyAllAmyPlates</t>
  </si>
  <si>
    <t>GirlAllAmyKnives</t>
  </si>
  <si>
    <t>GirlTwoAmyPlates</t>
  </si>
  <si>
    <t>GirlThreeAmyForks</t>
  </si>
  <si>
    <t>BoyTwoSusanPears</t>
  </si>
  <si>
    <t>BoyThreeSusanApples</t>
  </si>
  <si>
    <t>BoySomeSusanApples</t>
  </si>
  <si>
    <t>GirlSomeMichaelErasers</t>
  </si>
  <si>
    <t>BoyThreeMichaelPencils</t>
  </si>
  <si>
    <t>BoyTwoMichaelScissors</t>
  </si>
  <si>
    <t>GirlTwoAmyKnives</t>
  </si>
  <si>
    <t>GirlThreeAmySpoons</t>
  </si>
  <si>
    <t>GirlTwoSusanOranges</t>
  </si>
  <si>
    <t>BoySomeSusanBananas</t>
  </si>
  <si>
    <t>GirlSomeMichaelScissors</t>
  </si>
  <si>
    <t>BoyTwoMichaelErasers</t>
  </si>
  <si>
    <t>BoyAllAmySpoons</t>
  </si>
  <si>
    <t>BoyTwoAmyPlates</t>
  </si>
  <si>
    <t>Some</t>
  </si>
  <si>
    <t>Susan</t>
  </si>
  <si>
    <t>Pears</t>
  </si>
  <si>
    <t>Oranges</t>
  </si>
  <si>
    <t>All</t>
  </si>
  <si>
    <t>Bananas</t>
  </si>
  <si>
    <t>Two</t>
  </si>
  <si>
    <t>Three</t>
  </si>
  <si>
    <t>Michael</t>
  </si>
  <si>
    <t>Scissors</t>
  </si>
  <si>
    <t>Rulers</t>
  </si>
  <si>
    <t>Erasers</t>
  </si>
  <si>
    <t>Amy</t>
  </si>
  <si>
    <t>Forks</t>
  </si>
  <si>
    <t>Knives</t>
  </si>
  <si>
    <t>Plates</t>
  </si>
  <si>
    <t>Apples</t>
  </si>
  <si>
    <t>Pencils</t>
  </si>
  <si>
    <t>Spoons</t>
  </si>
  <si>
    <t>preview_onset</t>
  </si>
  <si>
    <t>preview_onset_ms</t>
  </si>
  <si>
    <t>click_onset_ms</t>
  </si>
  <si>
    <t>gender_onset_ms</t>
  </si>
  <si>
    <t>determiner_onset_ms</t>
  </si>
  <si>
    <t>name_onset_ms</t>
  </si>
  <si>
    <t>noun_onset_ms</t>
  </si>
  <si>
    <t>preview_onset_ms_200shift</t>
  </si>
  <si>
    <t>click_onset_ms_200shift</t>
  </si>
  <si>
    <t>gender_onset_ms_200shift</t>
  </si>
  <si>
    <t>determiner_onset_ms_200shift</t>
  </si>
  <si>
    <t>name_onset_ms_200shift</t>
  </si>
  <si>
    <t>noun_onset_ms_200shift</t>
  </si>
  <si>
    <t>baseline</t>
  </si>
  <si>
    <t>preview</t>
  </si>
  <si>
    <t>gender</t>
  </si>
  <si>
    <t>determiner</t>
  </si>
  <si>
    <t>name</t>
  </si>
  <si>
    <t>preview_ms</t>
  </si>
  <si>
    <t>baseline_ms</t>
  </si>
  <si>
    <t>gender_ms</t>
  </si>
  <si>
    <t>determiner_ms</t>
  </si>
  <si>
    <t>name_ms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</si>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</sst>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Fill="1"/>
    <xf numFmtId="0" fontId="0" fillId="0" borderId="1" xfId="0" applyBorder="1"/>
    <xf numFmtId="1" fontId="0" fillId="0" borderId="0" xfId="0" applyNumberFormat="1"/>
    <xf numFmtId="1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24"/>
  <sheetViews>
    <sheetView workbookViewId="0">
      <selection activeCell="D14" sqref="D14"/>
    </sheetView>
  </sheetViews>
  <sheetFormatPr defaultRowHeight="15" x14ac:dyDescent="0.25"/>
  <cols>
    <col min="1" max="1" width="26.85546875" customWidth="1"/>
    <col min="2" max="3" width="13.42578125" customWidth="1"/>
    <col min="4" max="4" width="17" customWidth="1"/>
    <col min="5" max="6" width="14.42578125" customWidth="1"/>
    <col min="7" max="8" width="12.42578125" customWidth="1"/>
    <col min="9" max="9" width="17.140625" customWidth="1"/>
    <col min="10" max="10" width="15" customWidth="1"/>
    <col min="12" max="12" width="16.42578125" customWidth="1"/>
  </cols>
  <sheetData>
    <row r="1" spans="1:11" x14ac:dyDescent="0.25">
      <c r="A1" t="s">
        <v>0</v>
      </c>
      <c r="B1" t="s">
        <v>34</v>
      </c>
      <c r="C1" t="s">
        <v>35</v>
      </c>
      <c r="D1" t="s">
        <v>36</v>
      </c>
      <c r="E1" t="s">
        <v>37</v>
      </c>
      <c r="F1" t="s">
        <v>38</v>
      </c>
      <c r="G1" t="s">
        <v>1</v>
      </c>
      <c r="I1" t="s">
        <v>31</v>
      </c>
      <c r="J1" t="s">
        <v>32</v>
      </c>
    </row>
    <row r="2" spans="1:11" x14ac:dyDescent="0.25">
      <c r="A2" t="s">
        <v>30</v>
      </c>
      <c r="B2">
        <v>0</v>
      </c>
      <c r="C2">
        <v>736</v>
      </c>
      <c r="D2">
        <v>1691</v>
      </c>
      <c r="G2">
        <v>1691</v>
      </c>
      <c r="I2">
        <v>2009</v>
      </c>
      <c r="J2" t="s">
        <v>2</v>
      </c>
      <c r="K2" t="s">
        <v>4</v>
      </c>
    </row>
    <row r="3" spans="1:11" x14ac:dyDescent="0.25">
      <c r="A3" t="s">
        <v>9</v>
      </c>
      <c r="G3">
        <v>709</v>
      </c>
      <c r="H3">
        <f>AVERAGE(G3:G6)</f>
        <v>708.25</v>
      </c>
      <c r="I3">
        <v>2009</v>
      </c>
      <c r="J3" t="s">
        <v>3</v>
      </c>
      <c r="K3" t="s">
        <v>4</v>
      </c>
    </row>
    <row r="4" spans="1:11" x14ac:dyDescent="0.25">
      <c r="A4" t="s">
        <v>10</v>
      </c>
      <c r="G4">
        <v>711</v>
      </c>
      <c r="I4">
        <v>2009</v>
      </c>
      <c r="J4" t="s">
        <v>8</v>
      </c>
      <c r="K4" t="s">
        <v>7</v>
      </c>
    </row>
    <row r="5" spans="1:11" x14ac:dyDescent="0.25">
      <c r="A5" t="s">
        <v>11</v>
      </c>
      <c r="G5">
        <v>713</v>
      </c>
      <c r="I5">
        <v>2011</v>
      </c>
      <c r="J5" t="s">
        <v>5</v>
      </c>
      <c r="K5" t="s">
        <v>4</v>
      </c>
    </row>
    <row r="6" spans="1:11" x14ac:dyDescent="0.25">
      <c r="A6" t="s">
        <v>12</v>
      </c>
      <c r="G6">
        <v>700</v>
      </c>
      <c r="J6" t="s">
        <v>6</v>
      </c>
      <c r="K6" t="s">
        <v>7</v>
      </c>
    </row>
    <row r="7" spans="1:11" x14ac:dyDescent="0.25">
      <c r="A7" t="s">
        <v>13</v>
      </c>
      <c r="G7">
        <v>700</v>
      </c>
    </row>
    <row r="8" spans="1:11" x14ac:dyDescent="0.25">
      <c r="A8" t="s">
        <v>14</v>
      </c>
      <c r="G8">
        <v>694</v>
      </c>
    </row>
    <row r="9" spans="1:11" x14ac:dyDescent="0.25">
      <c r="A9" t="s">
        <v>15</v>
      </c>
      <c r="G9">
        <v>551</v>
      </c>
      <c r="H9">
        <f>AVERAGE(G9:G11)</f>
        <v>550</v>
      </c>
    </row>
    <row r="10" spans="1:11" x14ac:dyDescent="0.25">
      <c r="A10" t="s">
        <v>16</v>
      </c>
      <c r="G10">
        <v>547</v>
      </c>
    </row>
    <row r="11" spans="1:11" x14ac:dyDescent="0.25">
      <c r="A11" t="s">
        <v>17</v>
      </c>
      <c r="G11">
        <v>552</v>
      </c>
    </row>
    <row r="12" spans="1:11" x14ac:dyDescent="0.25">
      <c r="A12" t="s">
        <v>33</v>
      </c>
    </row>
    <row r="13" spans="1:11" x14ac:dyDescent="0.25">
      <c r="A13" t="s">
        <v>18</v>
      </c>
      <c r="B13">
        <v>0.63502382592242201</v>
      </c>
      <c r="C13" t="s">
        <v>155</v>
      </c>
      <c r="D13">
        <f>AVERAGE(B13:B24)</f>
        <v>0.71996448719548767</v>
      </c>
    </row>
    <row r="14" spans="1:11" x14ac:dyDescent="0.25">
      <c r="A14" t="s">
        <v>19</v>
      </c>
      <c r="B14">
        <v>0.79455657142857095</v>
      </c>
      <c r="D14" s="3">
        <f>D13*1000/17</f>
        <v>42.350852187969863</v>
      </c>
    </row>
    <row r="15" spans="1:11" x14ac:dyDescent="0.25">
      <c r="A15" t="s">
        <v>20</v>
      </c>
      <c r="B15">
        <v>0.62622182024597906</v>
      </c>
    </row>
    <row r="16" spans="1:11" x14ac:dyDescent="0.25">
      <c r="A16" t="s">
        <v>21</v>
      </c>
      <c r="B16">
        <v>0.74634274361400199</v>
      </c>
    </row>
    <row r="17" spans="1:2" x14ac:dyDescent="0.25">
      <c r="A17" s="1" t="s">
        <v>22</v>
      </c>
      <c r="B17">
        <v>0.64651934153263901</v>
      </c>
    </row>
    <row r="18" spans="1:2" x14ac:dyDescent="0.25">
      <c r="A18" s="1" t="s">
        <v>23</v>
      </c>
      <c r="B18">
        <v>0.75383647303689605</v>
      </c>
    </row>
    <row r="19" spans="1:2" x14ac:dyDescent="0.25">
      <c r="A19" s="1" t="s">
        <v>24</v>
      </c>
      <c r="B19">
        <v>0.82164738834613305</v>
      </c>
    </row>
    <row r="20" spans="1:2" x14ac:dyDescent="0.25">
      <c r="A20" s="1" t="s">
        <v>25</v>
      </c>
      <c r="B20">
        <v>0.67045310122989599</v>
      </c>
    </row>
    <row r="21" spans="1:2" x14ac:dyDescent="0.25">
      <c r="A21" t="s">
        <v>26</v>
      </c>
      <c r="B21">
        <v>0.75956980132450203</v>
      </c>
    </row>
    <row r="22" spans="1:2" x14ac:dyDescent="0.25">
      <c r="A22" t="s">
        <v>27</v>
      </c>
      <c r="B22">
        <v>0.73922296323201797</v>
      </c>
    </row>
    <row r="23" spans="1:2" x14ac:dyDescent="0.25">
      <c r="A23" t="s">
        <v>28</v>
      </c>
      <c r="B23">
        <v>0.75610257139968395</v>
      </c>
    </row>
    <row r="24" spans="1:2" x14ac:dyDescent="0.25">
      <c r="A24" t="s">
        <v>29</v>
      </c>
      <c r="B24">
        <v>0.69007724503311196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72"/>
  <sheetViews>
    <sheetView zoomScale="90" zoomScaleNormal="90" workbookViewId="0">
      <selection sqref="A1:J1048576"/>
    </sheetView>
  </sheetViews>
  <sheetFormatPr defaultRowHeight="15" x14ac:dyDescent="0.25"/>
  <cols>
    <col min="1" max="4" width="21" customWidth="1"/>
    <col min="5" max="5" width="16.7109375" customWidth="1"/>
    <col min="6" max="6" width="16" customWidth="1"/>
    <col min="7" max="7" width="21" customWidth="1"/>
    <col min="8" max="8" width="19" customWidth="1"/>
    <col min="9" max="9" width="16.42578125" customWidth="1"/>
    <col min="10" max="10" width="14.5703125" customWidth="1"/>
    <col min="11" max="11" width="9.140625" style="2"/>
    <col min="16" max="16" width="15.140625" customWidth="1"/>
    <col min="17" max="17" width="9.140625" style="2"/>
  </cols>
  <sheetData>
    <row r="1" spans="1:22" x14ac:dyDescent="0.25">
      <c r="A1" t="s">
        <v>0</v>
      </c>
      <c r="B1" t="s">
        <v>39</v>
      </c>
      <c r="C1" t="s">
        <v>40</v>
      </c>
      <c r="D1" t="s">
        <v>41</v>
      </c>
      <c r="E1" t="s">
        <v>132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s="2" t="s">
        <v>133</v>
      </c>
      <c r="L1" t="s">
        <v>134</v>
      </c>
      <c r="M1" t="s">
        <v>135</v>
      </c>
      <c r="N1" t="s">
        <v>136</v>
      </c>
      <c r="O1" t="s">
        <v>137</v>
      </c>
      <c r="P1" t="s">
        <v>138</v>
      </c>
      <c r="Q1" s="2" t="s">
        <v>139</v>
      </c>
      <c r="R1" t="s">
        <v>140</v>
      </c>
      <c r="S1" t="s">
        <v>141</v>
      </c>
      <c r="T1" t="s">
        <v>142</v>
      </c>
      <c r="U1" t="s">
        <v>143</v>
      </c>
      <c r="V1" t="s">
        <v>144</v>
      </c>
    </row>
    <row r="2" spans="1:22" x14ac:dyDescent="0.25">
      <c r="A2" t="s">
        <v>58</v>
      </c>
      <c r="B2" t="s">
        <v>117</v>
      </c>
      <c r="C2" t="s">
        <v>125</v>
      </c>
      <c r="D2" t="s">
        <v>126</v>
      </c>
      <c r="E2">
        <v>0</v>
      </c>
      <c r="F2">
        <v>1</v>
      </c>
      <c r="G2">
        <f t="shared" ref="G2:G33" si="0">F2+0.735689821931518</f>
        <v>1.735689821931518</v>
      </c>
      <c r="H2">
        <f t="shared" ref="H2:H33" si="1">F2+1.69121640870387</f>
        <v>2.6912164087038697</v>
      </c>
      <c r="I2">
        <f t="shared" ref="I2:I9" si="2">H2+0.709461112750152</f>
        <v>3.4006775214540217</v>
      </c>
      <c r="J2">
        <f>I2+0.55203235285744</f>
        <v>3.9527098743114619</v>
      </c>
      <c r="K2" s="2">
        <f>E2*1000</f>
        <v>0</v>
      </c>
      <c r="L2">
        <f t="shared" ref="L2:P2" si="3">F2*1000</f>
        <v>1000</v>
      </c>
      <c r="M2">
        <f t="shared" si="3"/>
        <v>1735.6898219315181</v>
      </c>
      <c r="N2">
        <f t="shared" si="3"/>
        <v>2691.2164087038695</v>
      </c>
      <c r="O2">
        <f t="shared" si="3"/>
        <v>3400.6775214540216</v>
      </c>
      <c r="P2">
        <f t="shared" si="3"/>
        <v>3952.709874311462</v>
      </c>
      <c r="Q2" s="2">
        <f>K2+200</f>
        <v>200</v>
      </c>
      <c r="R2">
        <f t="shared" ref="R2:V2" si="4">L2+200</f>
        <v>1200</v>
      </c>
      <c r="S2">
        <f t="shared" si="4"/>
        <v>1935.6898219315181</v>
      </c>
      <c r="T2">
        <f t="shared" si="4"/>
        <v>2891.2164087038695</v>
      </c>
      <c r="U2">
        <f t="shared" si="4"/>
        <v>3600.6775214540216</v>
      </c>
      <c r="V2">
        <f t="shared" si="4"/>
        <v>4152.709874311462</v>
      </c>
    </row>
    <row r="3" spans="1:22" x14ac:dyDescent="0.25">
      <c r="A3" t="s">
        <v>59</v>
      </c>
      <c r="B3" t="s">
        <v>117</v>
      </c>
      <c r="C3" t="s">
        <v>125</v>
      </c>
      <c r="D3" t="s">
        <v>127</v>
      </c>
      <c r="E3">
        <v>0</v>
      </c>
      <c r="F3">
        <v>1</v>
      </c>
      <c r="G3">
        <f t="shared" si="0"/>
        <v>1.735689821931518</v>
      </c>
      <c r="H3">
        <f t="shared" si="1"/>
        <v>2.6912164087038697</v>
      </c>
      <c r="I3">
        <f t="shared" si="2"/>
        <v>3.4006775214540217</v>
      </c>
      <c r="J3">
        <f t="shared" ref="J3:J24" si="5">I3+0.55203235285744</f>
        <v>3.9527098743114619</v>
      </c>
      <c r="K3" s="2">
        <f t="shared" ref="K3:K66" si="6">E3*1000</f>
        <v>0</v>
      </c>
      <c r="L3">
        <f t="shared" ref="L3:L66" si="7">F3*1000</f>
        <v>1000</v>
      </c>
      <c r="M3">
        <f t="shared" ref="M3:M66" si="8">G3*1000</f>
        <v>1735.6898219315181</v>
      </c>
      <c r="N3">
        <f t="shared" ref="N3:N66" si="9">H3*1000</f>
        <v>2691.2164087038695</v>
      </c>
      <c r="O3">
        <f t="shared" ref="O3:O66" si="10">I3*1000</f>
        <v>3400.6775214540216</v>
      </c>
      <c r="P3">
        <f t="shared" ref="P3:P66" si="11">J3*1000</f>
        <v>3952.709874311462</v>
      </c>
      <c r="Q3" s="2">
        <f t="shared" ref="Q3:Q66" si="12">K3+200</f>
        <v>200</v>
      </c>
      <c r="R3">
        <f t="shared" ref="R3:R66" si="13">L3+200</f>
        <v>1200</v>
      </c>
      <c r="S3">
        <f t="shared" ref="S3:S66" si="14">M3+200</f>
        <v>1935.6898219315181</v>
      </c>
      <c r="T3">
        <f t="shared" ref="T3:T66" si="15">N3+200</f>
        <v>2891.2164087038695</v>
      </c>
      <c r="U3">
        <f t="shared" ref="U3:U66" si="16">O3+200</f>
        <v>3600.6775214540216</v>
      </c>
      <c r="V3">
        <f t="shared" ref="V3:V66" si="17">P3+200</f>
        <v>4152.709874311462</v>
      </c>
    </row>
    <row r="4" spans="1:22" x14ac:dyDescent="0.25">
      <c r="A4" t="s">
        <v>76</v>
      </c>
      <c r="B4" t="s">
        <v>117</v>
      </c>
      <c r="C4" t="s">
        <v>125</v>
      </c>
      <c r="D4" t="s">
        <v>128</v>
      </c>
      <c r="E4">
        <v>0</v>
      </c>
      <c r="F4">
        <v>1</v>
      </c>
      <c r="G4">
        <f t="shared" si="0"/>
        <v>1.735689821931518</v>
      </c>
      <c r="H4">
        <f t="shared" si="1"/>
        <v>2.6912164087038697</v>
      </c>
      <c r="I4">
        <f t="shared" si="2"/>
        <v>3.4006775214540217</v>
      </c>
      <c r="J4">
        <f t="shared" si="5"/>
        <v>3.9527098743114619</v>
      </c>
      <c r="K4" s="2">
        <f t="shared" si="6"/>
        <v>0</v>
      </c>
      <c r="L4">
        <f t="shared" si="7"/>
        <v>1000</v>
      </c>
      <c r="M4">
        <f t="shared" si="8"/>
        <v>1735.6898219315181</v>
      </c>
      <c r="N4">
        <f t="shared" si="9"/>
        <v>2691.2164087038695</v>
      </c>
      <c r="O4">
        <f t="shared" si="10"/>
        <v>3400.6775214540216</v>
      </c>
      <c r="P4">
        <f t="shared" si="11"/>
        <v>3952.709874311462</v>
      </c>
      <c r="Q4" s="2">
        <f t="shared" si="12"/>
        <v>200</v>
      </c>
      <c r="R4">
        <f t="shared" si="13"/>
        <v>1200</v>
      </c>
      <c r="S4">
        <f t="shared" si="14"/>
        <v>1935.6898219315181</v>
      </c>
      <c r="T4">
        <f t="shared" si="15"/>
        <v>2891.2164087038695</v>
      </c>
      <c r="U4">
        <f t="shared" si="16"/>
        <v>3600.6775214540216</v>
      </c>
      <c r="V4">
        <f t="shared" si="17"/>
        <v>4152.709874311462</v>
      </c>
    </row>
    <row r="5" spans="1:22" x14ac:dyDescent="0.25">
      <c r="A5" t="s">
        <v>77</v>
      </c>
      <c r="B5" t="s">
        <v>117</v>
      </c>
      <c r="C5" t="s">
        <v>125</v>
      </c>
      <c r="D5" t="s">
        <v>131</v>
      </c>
      <c r="E5">
        <v>0</v>
      </c>
      <c r="F5">
        <v>1</v>
      </c>
      <c r="G5">
        <f t="shared" si="0"/>
        <v>1.735689821931518</v>
      </c>
      <c r="H5">
        <f t="shared" si="1"/>
        <v>2.6912164087038697</v>
      </c>
      <c r="I5">
        <f t="shared" si="2"/>
        <v>3.4006775214540217</v>
      </c>
      <c r="J5">
        <f t="shared" si="5"/>
        <v>3.9527098743114619</v>
      </c>
      <c r="K5" s="2">
        <f t="shared" si="6"/>
        <v>0</v>
      </c>
      <c r="L5">
        <f t="shared" si="7"/>
        <v>1000</v>
      </c>
      <c r="M5">
        <f t="shared" si="8"/>
        <v>1735.6898219315181</v>
      </c>
      <c r="N5">
        <f t="shared" si="9"/>
        <v>2691.2164087038695</v>
      </c>
      <c r="O5">
        <f t="shared" si="10"/>
        <v>3400.6775214540216</v>
      </c>
      <c r="P5">
        <f t="shared" si="11"/>
        <v>3952.709874311462</v>
      </c>
      <c r="Q5" s="2">
        <f t="shared" si="12"/>
        <v>200</v>
      </c>
      <c r="R5">
        <f t="shared" si="13"/>
        <v>1200</v>
      </c>
      <c r="S5">
        <f t="shared" si="14"/>
        <v>1935.6898219315181</v>
      </c>
      <c r="T5">
        <f t="shared" si="15"/>
        <v>2891.2164087038695</v>
      </c>
      <c r="U5">
        <f t="shared" si="16"/>
        <v>3600.6775214540216</v>
      </c>
      <c r="V5">
        <f t="shared" si="17"/>
        <v>4152.709874311462</v>
      </c>
    </row>
    <row r="6" spans="1:22" x14ac:dyDescent="0.25">
      <c r="A6" t="s">
        <v>84</v>
      </c>
      <c r="B6" t="s">
        <v>117</v>
      </c>
      <c r="C6" t="s">
        <v>125</v>
      </c>
      <c r="D6" t="s">
        <v>126</v>
      </c>
      <c r="E6">
        <v>0</v>
      </c>
      <c r="F6">
        <v>1</v>
      </c>
      <c r="G6">
        <f t="shared" si="0"/>
        <v>1.735689821931518</v>
      </c>
      <c r="H6">
        <f t="shared" si="1"/>
        <v>2.6912164087038697</v>
      </c>
      <c r="I6">
        <f t="shared" si="2"/>
        <v>3.4006775214540217</v>
      </c>
      <c r="J6">
        <f t="shared" si="5"/>
        <v>3.9527098743114619</v>
      </c>
      <c r="K6" s="2">
        <f t="shared" si="6"/>
        <v>0</v>
      </c>
      <c r="L6">
        <f t="shared" si="7"/>
        <v>1000</v>
      </c>
      <c r="M6">
        <f t="shared" si="8"/>
        <v>1735.6898219315181</v>
      </c>
      <c r="N6">
        <f t="shared" si="9"/>
        <v>2691.2164087038695</v>
      </c>
      <c r="O6">
        <f t="shared" si="10"/>
        <v>3400.6775214540216</v>
      </c>
      <c r="P6">
        <f t="shared" si="11"/>
        <v>3952.709874311462</v>
      </c>
      <c r="Q6" s="2">
        <f t="shared" si="12"/>
        <v>200</v>
      </c>
      <c r="R6">
        <f t="shared" si="13"/>
        <v>1200</v>
      </c>
      <c r="S6">
        <f t="shared" si="14"/>
        <v>1935.6898219315181</v>
      </c>
      <c r="T6">
        <f t="shared" si="15"/>
        <v>2891.2164087038695</v>
      </c>
      <c r="U6">
        <f t="shared" si="16"/>
        <v>3600.6775214540216</v>
      </c>
      <c r="V6">
        <f t="shared" si="17"/>
        <v>4152.709874311462</v>
      </c>
    </row>
    <row r="7" spans="1:22" x14ac:dyDescent="0.25">
      <c r="A7" t="s">
        <v>95</v>
      </c>
      <c r="B7" t="s">
        <v>117</v>
      </c>
      <c r="C7" t="s">
        <v>125</v>
      </c>
      <c r="D7" t="s">
        <v>128</v>
      </c>
      <c r="E7">
        <v>0</v>
      </c>
      <c r="F7">
        <v>1</v>
      </c>
      <c r="G7">
        <f t="shared" si="0"/>
        <v>1.735689821931518</v>
      </c>
      <c r="H7">
        <f t="shared" si="1"/>
        <v>2.6912164087038697</v>
      </c>
      <c r="I7">
        <f t="shared" si="2"/>
        <v>3.4006775214540217</v>
      </c>
      <c r="J7">
        <f t="shared" si="5"/>
        <v>3.9527098743114619</v>
      </c>
      <c r="K7" s="2">
        <f t="shared" si="6"/>
        <v>0</v>
      </c>
      <c r="L7">
        <f t="shared" si="7"/>
        <v>1000</v>
      </c>
      <c r="M7">
        <f t="shared" si="8"/>
        <v>1735.6898219315181</v>
      </c>
      <c r="N7">
        <f t="shared" si="9"/>
        <v>2691.2164087038695</v>
      </c>
      <c r="O7">
        <f t="shared" si="10"/>
        <v>3400.6775214540216</v>
      </c>
      <c r="P7">
        <f t="shared" si="11"/>
        <v>3952.709874311462</v>
      </c>
      <c r="Q7" s="2">
        <f t="shared" si="12"/>
        <v>200</v>
      </c>
      <c r="R7">
        <f t="shared" si="13"/>
        <v>1200</v>
      </c>
      <c r="S7">
        <f t="shared" si="14"/>
        <v>1935.6898219315181</v>
      </c>
      <c r="T7">
        <f t="shared" si="15"/>
        <v>2891.2164087038695</v>
      </c>
      <c r="U7">
        <f t="shared" si="16"/>
        <v>3600.6775214540216</v>
      </c>
      <c r="V7">
        <f t="shared" si="17"/>
        <v>4152.709874311462</v>
      </c>
    </row>
    <row r="8" spans="1:22" x14ac:dyDescent="0.25">
      <c r="A8" t="s">
        <v>96</v>
      </c>
      <c r="B8" t="s">
        <v>117</v>
      </c>
      <c r="C8" t="s">
        <v>125</v>
      </c>
      <c r="D8" t="s">
        <v>127</v>
      </c>
      <c r="E8">
        <v>0</v>
      </c>
      <c r="F8">
        <v>1</v>
      </c>
      <c r="G8">
        <f t="shared" si="0"/>
        <v>1.735689821931518</v>
      </c>
      <c r="H8">
        <f t="shared" si="1"/>
        <v>2.6912164087038697</v>
      </c>
      <c r="I8">
        <f t="shared" si="2"/>
        <v>3.4006775214540217</v>
      </c>
      <c r="J8">
        <f t="shared" si="5"/>
        <v>3.9527098743114619</v>
      </c>
      <c r="K8" s="2">
        <f t="shared" si="6"/>
        <v>0</v>
      </c>
      <c r="L8">
        <f t="shared" si="7"/>
        <v>1000</v>
      </c>
      <c r="M8">
        <f t="shared" si="8"/>
        <v>1735.6898219315181</v>
      </c>
      <c r="N8">
        <f t="shared" si="9"/>
        <v>2691.2164087038695</v>
      </c>
      <c r="O8">
        <f t="shared" si="10"/>
        <v>3400.6775214540216</v>
      </c>
      <c r="P8">
        <f t="shared" si="11"/>
        <v>3952.709874311462</v>
      </c>
      <c r="Q8" s="2">
        <f t="shared" si="12"/>
        <v>200</v>
      </c>
      <c r="R8">
        <f t="shared" si="13"/>
        <v>1200</v>
      </c>
      <c r="S8">
        <f t="shared" si="14"/>
        <v>1935.6898219315181</v>
      </c>
      <c r="T8">
        <f t="shared" si="15"/>
        <v>2891.2164087038695</v>
      </c>
      <c r="U8">
        <f t="shared" si="16"/>
        <v>3600.6775214540216</v>
      </c>
      <c r="V8">
        <f t="shared" si="17"/>
        <v>4152.709874311462</v>
      </c>
    </row>
    <row r="9" spans="1:22" x14ac:dyDescent="0.25">
      <c r="A9" t="s">
        <v>111</v>
      </c>
      <c r="B9" t="s">
        <v>117</v>
      </c>
      <c r="C9" t="s">
        <v>125</v>
      </c>
      <c r="D9" t="s">
        <v>131</v>
      </c>
      <c r="E9">
        <v>0</v>
      </c>
      <c r="F9">
        <v>1</v>
      </c>
      <c r="G9">
        <f t="shared" si="0"/>
        <v>1.735689821931518</v>
      </c>
      <c r="H9">
        <f t="shared" si="1"/>
        <v>2.6912164087038697</v>
      </c>
      <c r="I9">
        <f t="shared" si="2"/>
        <v>3.4006775214540217</v>
      </c>
      <c r="J9">
        <f t="shared" si="5"/>
        <v>3.9527098743114619</v>
      </c>
      <c r="K9" s="2">
        <f t="shared" si="6"/>
        <v>0</v>
      </c>
      <c r="L9">
        <f t="shared" si="7"/>
        <v>1000</v>
      </c>
      <c r="M9">
        <f t="shared" si="8"/>
        <v>1735.6898219315181</v>
      </c>
      <c r="N9">
        <f t="shared" si="9"/>
        <v>2691.2164087038695</v>
      </c>
      <c r="O9">
        <f t="shared" si="10"/>
        <v>3400.6775214540216</v>
      </c>
      <c r="P9">
        <f t="shared" si="11"/>
        <v>3952.709874311462</v>
      </c>
      <c r="Q9" s="2">
        <f t="shared" si="12"/>
        <v>200</v>
      </c>
      <c r="R9">
        <f t="shared" si="13"/>
        <v>1200</v>
      </c>
      <c r="S9">
        <f t="shared" si="14"/>
        <v>1935.6898219315181</v>
      </c>
      <c r="T9">
        <f t="shared" si="15"/>
        <v>2891.2164087038695</v>
      </c>
      <c r="U9">
        <f t="shared" si="16"/>
        <v>3600.6775214540216</v>
      </c>
      <c r="V9">
        <f t="shared" si="17"/>
        <v>4152.709874311462</v>
      </c>
    </row>
    <row r="10" spans="1:22" x14ac:dyDescent="0.25">
      <c r="A10" t="s">
        <v>56</v>
      </c>
      <c r="B10" t="s">
        <v>113</v>
      </c>
      <c r="C10" t="s">
        <v>125</v>
      </c>
      <c r="D10" t="s">
        <v>127</v>
      </c>
      <c r="E10">
        <v>0</v>
      </c>
      <c r="F10">
        <v>1</v>
      </c>
      <c r="G10">
        <f t="shared" si="0"/>
        <v>1.735689821931518</v>
      </c>
      <c r="H10">
        <f t="shared" si="1"/>
        <v>2.6912164087038697</v>
      </c>
      <c r="I10">
        <f t="shared" ref="I10:I15" si="18">H10+0.711451247165532</f>
        <v>3.4026676558694016</v>
      </c>
      <c r="J10">
        <f t="shared" si="5"/>
        <v>3.9547000087268414</v>
      </c>
      <c r="K10" s="2">
        <f t="shared" si="6"/>
        <v>0</v>
      </c>
      <c r="L10">
        <f t="shared" si="7"/>
        <v>1000</v>
      </c>
      <c r="M10">
        <f t="shared" si="8"/>
        <v>1735.6898219315181</v>
      </c>
      <c r="N10">
        <f t="shared" si="9"/>
        <v>2691.2164087038695</v>
      </c>
      <c r="O10">
        <f t="shared" si="10"/>
        <v>3402.6676558694016</v>
      </c>
      <c r="P10">
        <f t="shared" si="11"/>
        <v>3954.7000087268411</v>
      </c>
      <c r="Q10" s="2">
        <f t="shared" si="12"/>
        <v>200</v>
      </c>
      <c r="R10">
        <f t="shared" si="13"/>
        <v>1200</v>
      </c>
      <c r="S10">
        <f t="shared" si="14"/>
        <v>1935.6898219315181</v>
      </c>
      <c r="T10">
        <f t="shared" si="15"/>
        <v>2891.2164087038695</v>
      </c>
      <c r="U10">
        <f t="shared" si="16"/>
        <v>3602.6676558694016</v>
      </c>
      <c r="V10">
        <f t="shared" si="17"/>
        <v>4154.7000087268407</v>
      </c>
    </row>
    <row r="11" spans="1:22" x14ac:dyDescent="0.25">
      <c r="A11" t="s">
        <v>57</v>
      </c>
      <c r="B11" t="s">
        <v>113</v>
      </c>
      <c r="C11" t="s">
        <v>125</v>
      </c>
      <c r="D11" t="s">
        <v>128</v>
      </c>
      <c r="E11">
        <v>0</v>
      </c>
      <c r="F11">
        <v>1</v>
      </c>
      <c r="G11">
        <f t="shared" si="0"/>
        <v>1.735689821931518</v>
      </c>
      <c r="H11">
        <f t="shared" si="1"/>
        <v>2.6912164087038697</v>
      </c>
      <c r="I11">
        <f t="shared" si="18"/>
        <v>3.4026676558694016</v>
      </c>
      <c r="J11">
        <f t="shared" si="5"/>
        <v>3.9547000087268414</v>
      </c>
      <c r="K11" s="2">
        <f t="shared" si="6"/>
        <v>0</v>
      </c>
      <c r="L11">
        <f t="shared" si="7"/>
        <v>1000</v>
      </c>
      <c r="M11">
        <f t="shared" si="8"/>
        <v>1735.6898219315181</v>
      </c>
      <c r="N11">
        <f t="shared" si="9"/>
        <v>2691.2164087038695</v>
      </c>
      <c r="O11">
        <f t="shared" si="10"/>
        <v>3402.6676558694016</v>
      </c>
      <c r="P11">
        <f t="shared" si="11"/>
        <v>3954.7000087268411</v>
      </c>
      <c r="Q11" s="2">
        <f t="shared" si="12"/>
        <v>200</v>
      </c>
      <c r="R11">
        <f t="shared" si="13"/>
        <v>1200</v>
      </c>
      <c r="S11">
        <f t="shared" si="14"/>
        <v>1935.6898219315181</v>
      </c>
      <c r="T11">
        <f t="shared" si="15"/>
        <v>2891.2164087038695</v>
      </c>
      <c r="U11">
        <f t="shared" si="16"/>
        <v>3602.6676558694016</v>
      </c>
      <c r="V11">
        <f t="shared" si="17"/>
        <v>4154.7000087268407</v>
      </c>
    </row>
    <row r="12" spans="1:22" x14ac:dyDescent="0.25">
      <c r="A12" t="s">
        <v>74</v>
      </c>
      <c r="B12" t="s">
        <v>113</v>
      </c>
      <c r="C12" t="s">
        <v>125</v>
      </c>
      <c r="D12" t="s">
        <v>131</v>
      </c>
      <c r="E12">
        <v>0</v>
      </c>
      <c r="F12">
        <v>1</v>
      </c>
      <c r="G12">
        <f t="shared" si="0"/>
        <v>1.735689821931518</v>
      </c>
      <c r="H12">
        <f t="shared" si="1"/>
        <v>2.6912164087038697</v>
      </c>
      <c r="I12">
        <f t="shared" si="18"/>
        <v>3.4026676558694016</v>
      </c>
      <c r="J12">
        <f t="shared" si="5"/>
        <v>3.9547000087268414</v>
      </c>
      <c r="K12" s="2">
        <f t="shared" si="6"/>
        <v>0</v>
      </c>
      <c r="L12">
        <f t="shared" si="7"/>
        <v>1000</v>
      </c>
      <c r="M12">
        <f t="shared" si="8"/>
        <v>1735.6898219315181</v>
      </c>
      <c r="N12">
        <f t="shared" si="9"/>
        <v>2691.2164087038695</v>
      </c>
      <c r="O12">
        <f t="shared" si="10"/>
        <v>3402.6676558694016</v>
      </c>
      <c r="P12">
        <f t="shared" si="11"/>
        <v>3954.7000087268411</v>
      </c>
      <c r="Q12" s="2">
        <f t="shared" si="12"/>
        <v>200</v>
      </c>
      <c r="R12">
        <f t="shared" si="13"/>
        <v>1200</v>
      </c>
      <c r="S12">
        <f t="shared" si="14"/>
        <v>1935.6898219315181</v>
      </c>
      <c r="T12">
        <f t="shared" si="15"/>
        <v>2891.2164087038695</v>
      </c>
      <c r="U12">
        <f t="shared" si="16"/>
        <v>3602.6676558694016</v>
      </c>
      <c r="V12">
        <f t="shared" si="17"/>
        <v>4154.7000087268407</v>
      </c>
    </row>
    <row r="13" spans="1:22" x14ac:dyDescent="0.25">
      <c r="A13" t="s">
        <v>75</v>
      </c>
      <c r="B13" t="s">
        <v>113</v>
      </c>
      <c r="C13" t="s">
        <v>125</v>
      </c>
      <c r="D13" t="s">
        <v>126</v>
      </c>
      <c r="E13">
        <v>0</v>
      </c>
      <c r="F13">
        <v>1</v>
      </c>
      <c r="G13">
        <f t="shared" si="0"/>
        <v>1.735689821931518</v>
      </c>
      <c r="H13">
        <f t="shared" si="1"/>
        <v>2.6912164087038697</v>
      </c>
      <c r="I13">
        <f t="shared" si="18"/>
        <v>3.4026676558694016</v>
      </c>
      <c r="J13">
        <f t="shared" si="5"/>
        <v>3.9547000087268414</v>
      </c>
      <c r="K13" s="2">
        <f t="shared" si="6"/>
        <v>0</v>
      </c>
      <c r="L13">
        <f t="shared" si="7"/>
        <v>1000</v>
      </c>
      <c r="M13">
        <f t="shared" si="8"/>
        <v>1735.6898219315181</v>
      </c>
      <c r="N13">
        <f t="shared" si="9"/>
        <v>2691.2164087038695</v>
      </c>
      <c r="O13">
        <f t="shared" si="10"/>
        <v>3402.6676558694016</v>
      </c>
      <c r="P13">
        <f t="shared" si="11"/>
        <v>3954.7000087268411</v>
      </c>
      <c r="Q13" s="2">
        <f t="shared" si="12"/>
        <v>200</v>
      </c>
      <c r="R13">
        <f t="shared" si="13"/>
        <v>1200</v>
      </c>
      <c r="S13">
        <f t="shared" si="14"/>
        <v>1935.6898219315181</v>
      </c>
      <c r="T13">
        <f t="shared" si="15"/>
        <v>2891.2164087038695</v>
      </c>
      <c r="U13">
        <f t="shared" si="16"/>
        <v>3602.6676558694016</v>
      </c>
      <c r="V13">
        <f t="shared" si="17"/>
        <v>4154.7000087268407</v>
      </c>
    </row>
    <row r="14" spans="1:22" x14ac:dyDescent="0.25">
      <c r="A14" t="s">
        <v>93</v>
      </c>
      <c r="B14" t="s">
        <v>113</v>
      </c>
      <c r="C14" t="s">
        <v>125</v>
      </c>
      <c r="D14" t="s">
        <v>128</v>
      </c>
      <c r="E14">
        <v>0</v>
      </c>
      <c r="F14">
        <v>1</v>
      </c>
      <c r="G14">
        <f t="shared" si="0"/>
        <v>1.735689821931518</v>
      </c>
      <c r="H14">
        <f t="shared" si="1"/>
        <v>2.6912164087038697</v>
      </c>
      <c r="I14">
        <f t="shared" si="18"/>
        <v>3.4026676558694016</v>
      </c>
      <c r="J14">
        <f t="shared" si="5"/>
        <v>3.9547000087268414</v>
      </c>
      <c r="K14" s="2">
        <f t="shared" si="6"/>
        <v>0</v>
      </c>
      <c r="L14">
        <f t="shared" si="7"/>
        <v>1000</v>
      </c>
      <c r="M14">
        <f t="shared" si="8"/>
        <v>1735.6898219315181</v>
      </c>
      <c r="N14">
        <f t="shared" si="9"/>
        <v>2691.2164087038695</v>
      </c>
      <c r="O14">
        <f t="shared" si="10"/>
        <v>3402.6676558694016</v>
      </c>
      <c r="P14">
        <f t="shared" si="11"/>
        <v>3954.7000087268411</v>
      </c>
      <c r="Q14" s="2">
        <f t="shared" si="12"/>
        <v>200</v>
      </c>
      <c r="R14">
        <f t="shared" si="13"/>
        <v>1200</v>
      </c>
      <c r="S14">
        <f t="shared" si="14"/>
        <v>1935.6898219315181</v>
      </c>
      <c r="T14">
        <f t="shared" si="15"/>
        <v>2891.2164087038695</v>
      </c>
      <c r="U14">
        <f t="shared" si="16"/>
        <v>3602.6676558694016</v>
      </c>
      <c r="V14">
        <f t="shared" si="17"/>
        <v>4154.7000087268407</v>
      </c>
    </row>
    <row r="15" spans="1:22" x14ac:dyDescent="0.25">
      <c r="A15" t="s">
        <v>94</v>
      </c>
      <c r="B15" t="s">
        <v>113</v>
      </c>
      <c r="C15" t="s">
        <v>125</v>
      </c>
      <c r="D15" t="s">
        <v>127</v>
      </c>
      <c r="E15">
        <v>0</v>
      </c>
      <c r="F15">
        <v>1</v>
      </c>
      <c r="G15">
        <f t="shared" si="0"/>
        <v>1.735689821931518</v>
      </c>
      <c r="H15">
        <f t="shared" si="1"/>
        <v>2.6912164087038697</v>
      </c>
      <c r="I15">
        <f t="shared" si="18"/>
        <v>3.4026676558694016</v>
      </c>
      <c r="J15">
        <f t="shared" si="5"/>
        <v>3.9547000087268414</v>
      </c>
      <c r="K15" s="2">
        <f t="shared" si="6"/>
        <v>0</v>
      </c>
      <c r="L15">
        <f t="shared" si="7"/>
        <v>1000</v>
      </c>
      <c r="M15">
        <f t="shared" si="8"/>
        <v>1735.6898219315181</v>
      </c>
      <c r="N15">
        <f t="shared" si="9"/>
        <v>2691.2164087038695</v>
      </c>
      <c r="O15">
        <f t="shared" si="10"/>
        <v>3402.6676558694016</v>
      </c>
      <c r="P15">
        <f t="shared" si="11"/>
        <v>3954.7000087268411</v>
      </c>
      <c r="Q15" s="2">
        <f t="shared" si="12"/>
        <v>200</v>
      </c>
      <c r="R15">
        <f t="shared" si="13"/>
        <v>1200</v>
      </c>
      <c r="S15">
        <f t="shared" si="14"/>
        <v>1935.6898219315181</v>
      </c>
      <c r="T15">
        <f t="shared" si="15"/>
        <v>2891.2164087038695</v>
      </c>
      <c r="U15">
        <f t="shared" si="16"/>
        <v>3602.6676558694016</v>
      </c>
      <c r="V15">
        <f t="shared" si="17"/>
        <v>4154.7000087268407</v>
      </c>
    </row>
    <row r="16" spans="1:22" x14ac:dyDescent="0.25">
      <c r="A16" t="s">
        <v>55</v>
      </c>
      <c r="B16" t="s">
        <v>120</v>
      </c>
      <c r="C16" t="s">
        <v>125</v>
      </c>
      <c r="D16" t="s">
        <v>127</v>
      </c>
      <c r="E16">
        <v>0</v>
      </c>
      <c r="F16">
        <v>1</v>
      </c>
      <c r="G16">
        <f t="shared" si="0"/>
        <v>1.735689821931518</v>
      </c>
      <c r="H16">
        <f t="shared" si="1"/>
        <v>2.6912164087038697</v>
      </c>
      <c r="I16">
        <f>H16+0.712947845804988</f>
        <v>3.4041642545088577</v>
      </c>
      <c r="J16">
        <f t="shared" si="5"/>
        <v>3.956196607366298</v>
      </c>
      <c r="K16" s="2">
        <f t="shared" si="6"/>
        <v>0</v>
      </c>
      <c r="L16">
        <f t="shared" si="7"/>
        <v>1000</v>
      </c>
      <c r="M16">
        <f t="shared" si="8"/>
        <v>1735.6898219315181</v>
      </c>
      <c r="N16">
        <f t="shared" si="9"/>
        <v>2691.2164087038695</v>
      </c>
      <c r="O16">
        <f t="shared" si="10"/>
        <v>3404.1642545088575</v>
      </c>
      <c r="P16">
        <f t="shared" si="11"/>
        <v>3956.1966073662979</v>
      </c>
      <c r="Q16" s="2">
        <f t="shared" si="12"/>
        <v>200</v>
      </c>
      <c r="R16">
        <f t="shared" si="13"/>
        <v>1200</v>
      </c>
      <c r="S16">
        <f t="shared" si="14"/>
        <v>1935.6898219315181</v>
      </c>
      <c r="T16">
        <f t="shared" si="15"/>
        <v>2891.2164087038695</v>
      </c>
      <c r="U16">
        <f t="shared" si="16"/>
        <v>3604.1642545088575</v>
      </c>
      <c r="V16">
        <f t="shared" si="17"/>
        <v>4156.1966073662979</v>
      </c>
    </row>
    <row r="17" spans="1:22" x14ac:dyDescent="0.25">
      <c r="A17" t="s">
        <v>72</v>
      </c>
      <c r="B17" t="s">
        <v>120</v>
      </c>
      <c r="C17" t="s">
        <v>125</v>
      </c>
      <c r="D17" t="s">
        <v>128</v>
      </c>
      <c r="E17">
        <v>0</v>
      </c>
      <c r="F17">
        <v>1</v>
      </c>
      <c r="G17">
        <f t="shared" si="0"/>
        <v>1.735689821931518</v>
      </c>
      <c r="H17">
        <f t="shared" si="1"/>
        <v>2.6912164087038697</v>
      </c>
      <c r="I17">
        <f>H17+0.712947845804988</f>
        <v>3.4041642545088577</v>
      </c>
      <c r="J17">
        <f t="shared" si="5"/>
        <v>3.956196607366298</v>
      </c>
      <c r="K17" s="2">
        <f t="shared" si="6"/>
        <v>0</v>
      </c>
      <c r="L17">
        <f t="shared" si="7"/>
        <v>1000</v>
      </c>
      <c r="M17">
        <f t="shared" si="8"/>
        <v>1735.6898219315181</v>
      </c>
      <c r="N17">
        <f t="shared" si="9"/>
        <v>2691.2164087038695</v>
      </c>
      <c r="O17">
        <f t="shared" si="10"/>
        <v>3404.1642545088575</v>
      </c>
      <c r="P17">
        <f t="shared" si="11"/>
        <v>3956.1966073662979</v>
      </c>
      <c r="Q17" s="2">
        <f t="shared" si="12"/>
        <v>200</v>
      </c>
      <c r="R17">
        <f t="shared" si="13"/>
        <v>1200</v>
      </c>
      <c r="S17">
        <f t="shared" si="14"/>
        <v>1935.6898219315181</v>
      </c>
      <c r="T17">
        <f t="shared" si="15"/>
        <v>2891.2164087038695</v>
      </c>
      <c r="U17">
        <f t="shared" si="16"/>
        <v>3604.1642545088575</v>
      </c>
      <c r="V17">
        <f t="shared" si="17"/>
        <v>4156.1966073662979</v>
      </c>
    </row>
    <row r="18" spans="1:22" x14ac:dyDescent="0.25">
      <c r="A18" t="s">
        <v>98</v>
      </c>
      <c r="B18" t="s">
        <v>120</v>
      </c>
      <c r="C18" t="s">
        <v>125</v>
      </c>
      <c r="D18" t="s">
        <v>126</v>
      </c>
      <c r="E18">
        <v>0</v>
      </c>
      <c r="F18">
        <v>1</v>
      </c>
      <c r="G18">
        <f t="shared" si="0"/>
        <v>1.735689821931518</v>
      </c>
      <c r="H18">
        <f t="shared" si="1"/>
        <v>2.6912164087038697</v>
      </c>
      <c r="I18">
        <f>H18+0.712947845804988</f>
        <v>3.4041642545088577</v>
      </c>
      <c r="J18">
        <f t="shared" si="5"/>
        <v>3.956196607366298</v>
      </c>
      <c r="K18" s="2">
        <f t="shared" si="6"/>
        <v>0</v>
      </c>
      <c r="L18">
        <f t="shared" si="7"/>
        <v>1000</v>
      </c>
      <c r="M18">
        <f t="shared" si="8"/>
        <v>1735.6898219315181</v>
      </c>
      <c r="N18">
        <f t="shared" si="9"/>
        <v>2691.2164087038695</v>
      </c>
      <c r="O18">
        <f t="shared" si="10"/>
        <v>3404.1642545088575</v>
      </c>
      <c r="P18">
        <f t="shared" si="11"/>
        <v>3956.1966073662979</v>
      </c>
      <c r="Q18" s="2">
        <f t="shared" si="12"/>
        <v>200</v>
      </c>
      <c r="R18">
        <f t="shared" si="13"/>
        <v>1200</v>
      </c>
      <c r="S18">
        <f t="shared" si="14"/>
        <v>1935.6898219315181</v>
      </c>
      <c r="T18">
        <f t="shared" si="15"/>
        <v>2891.2164087038695</v>
      </c>
      <c r="U18">
        <f t="shared" si="16"/>
        <v>3604.1642545088575</v>
      </c>
      <c r="V18">
        <f t="shared" si="17"/>
        <v>4156.1966073662979</v>
      </c>
    </row>
    <row r="19" spans="1:22" x14ac:dyDescent="0.25">
      <c r="A19" t="s">
        <v>106</v>
      </c>
      <c r="B19" t="s">
        <v>120</v>
      </c>
      <c r="C19" t="s">
        <v>125</v>
      </c>
      <c r="D19" t="s">
        <v>131</v>
      </c>
      <c r="E19">
        <v>0</v>
      </c>
      <c r="F19">
        <v>1</v>
      </c>
      <c r="G19">
        <f t="shared" si="0"/>
        <v>1.735689821931518</v>
      </c>
      <c r="H19">
        <f t="shared" si="1"/>
        <v>2.6912164087038697</v>
      </c>
      <c r="I19">
        <f>H19+0.712947845804988</f>
        <v>3.4041642545088577</v>
      </c>
      <c r="J19">
        <f t="shared" si="5"/>
        <v>3.956196607366298</v>
      </c>
      <c r="K19" s="2">
        <f t="shared" si="6"/>
        <v>0</v>
      </c>
      <c r="L19">
        <f t="shared" si="7"/>
        <v>1000</v>
      </c>
      <c r="M19">
        <f t="shared" si="8"/>
        <v>1735.6898219315181</v>
      </c>
      <c r="N19">
        <f t="shared" si="9"/>
        <v>2691.2164087038695</v>
      </c>
      <c r="O19">
        <f t="shared" si="10"/>
        <v>3404.1642545088575</v>
      </c>
      <c r="P19">
        <f t="shared" si="11"/>
        <v>3956.1966073662979</v>
      </c>
      <c r="Q19" s="2">
        <f t="shared" si="12"/>
        <v>200</v>
      </c>
      <c r="R19">
        <f t="shared" si="13"/>
        <v>1200</v>
      </c>
      <c r="S19">
        <f t="shared" si="14"/>
        <v>1935.6898219315181</v>
      </c>
      <c r="T19">
        <f t="shared" si="15"/>
        <v>2891.2164087038695</v>
      </c>
      <c r="U19">
        <f t="shared" si="16"/>
        <v>3604.1642545088575</v>
      </c>
      <c r="V19">
        <f t="shared" si="17"/>
        <v>4156.1966073662979</v>
      </c>
    </row>
    <row r="20" spans="1:22" x14ac:dyDescent="0.25">
      <c r="A20" t="s">
        <v>54</v>
      </c>
      <c r="B20" t="s">
        <v>119</v>
      </c>
      <c r="C20" t="s">
        <v>125</v>
      </c>
      <c r="D20" t="s">
        <v>126</v>
      </c>
      <c r="E20">
        <v>0</v>
      </c>
      <c r="F20">
        <v>1</v>
      </c>
      <c r="G20">
        <f t="shared" si="0"/>
        <v>1.735689821931518</v>
      </c>
      <c r="H20">
        <f t="shared" si="1"/>
        <v>2.6912164087038697</v>
      </c>
      <c r="I20">
        <f>H20+0.699433106575963</f>
        <v>3.3906495152798328</v>
      </c>
      <c r="J20">
        <f t="shared" si="5"/>
        <v>3.9426818681372726</v>
      </c>
      <c r="K20" s="2">
        <f t="shared" si="6"/>
        <v>0</v>
      </c>
      <c r="L20">
        <f t="shared" si="7"/>
        <v>1000</v>
      </c>
      <c r="M20">
        <f t="shared" si="8"/>
        <v>1735.6898219315181</v>
      </c>
      <c r="N20">
        <f t="shared" si="9"/>
        <v>2691.2164087038695</v>
      </c>
      <c r="O20">
        <f t="shared" si="10"/>
        <v>3390.6495152798329</v>
      </c>
      <c r="P20">
        <f t="shared" si="11"/>
        <v>3942.6818681372724</v>
      </c>
      <c r="Q20" s="2">
        <f t="shared" si="12"/>
        <v>200</v>
      </c>
      <c r="R20">
        <f t="shared" si="13"/>
        <v>1200</v>
      </c>
      <c r="S20">
        <f t="shared" si="14"/>
        <v>1935.6898219315181</v>
      </c>
      <c r="T20">
        <f t="shared" si="15"/>
        <v>2891.2164087038695</v>
      </c>
      <c r="U20">
        <f t="shared" si="16"/>
        <v>3590.6495152798329</v>
      </c>
      <c r="V20">
        <f t="shared" si="17"/>
        <v>4142.6818681372724</v>
      </c>
    </row>
    <row r="21" spans="1:22" x14ac:dyDescent="0.25">
      <c r="A21" t="s">
        <v>73</v>
      </c>
      <c r="B21" t="s">
        <v>119</v>
      </c>
      <c r="C21" t="s">
        <v>125</v>
      </c>
      <c r="D21" t="s">
        <v>131</v>
      </c>
      <c r="E21">
        <v>0</v>
      </c>
      <c r="F21">
        <v>1</v>
      </c>
      <c r="G21">
        <f t="shared" si="0"/>
        <v>1.735689821931518</v>
      </c>
      <c r="H21">
        <f t="shared" si="1"/>
        <v>2.6912164087038697</v>
      </c>
      <c r="I21">
        <f>H21+0.699433106575963</f>
        <v>3.3906495152798328</v>
      </c>
      <c r="J21">
        <f t="shared" si="5"/>
        <v>3.9426818681372726</v>
      </c>
      <c r="K21" s="2">
        <f t="shared" si="6"/>
        <v>0</v>
      </c>
      <c r="L21">
        <f t="shared" si="7"/>
        <v>1000</v>
      </c>
      <c r="M21">
        <f t="shared" si="8"/>
        <v>1735.6898219315181</v>
      </c>
      <c r="N21">
        <f t="shared" si="9"/>
        <v>2691.2164087038695</v>
      </c>
      <c r="O21">
        <f t="shared" si="10"/>
        <v>3390.6495152798329</v>
      </c>
      <c r="P21">
        <f t="shared" si="11"/>
        <v>3942.6818681372724</v>
      </c>
      <c r="Q21" s="2">
        <f t="shared" si="12"/>
        <v>200</v>
      </c>
      <c r="R21">
        <f t="shared" si="13"/>
        <v>1200</v>
      </c>
      <c r="S21">
        <f t="shared" si="14"/>
        <v>1935.6898219315181</v>
      </c>
      <c r="T21">
        <f t="shared" si="15"/>
        <v>2891.2164087038695</v>
      </c>
      <c r="U21">
        <f t="shared" si="16"/>
        <v>3590.6495152798329</v>
      </c>
      <c r="V21">
        <f t="shared" si="17"/>
        <v>4142.6818681372724</v>
      </c>
    </row>
    <row r="22" spans="1:22" x14ac:dyDescent="0.25">
      <c r="A22" t="s">
        <v>97</v>
      </c>
      <c r="B22" t="s">
        <v>119</v>
      </c>
      <c r="C22" t="s">
        <v>125</v>
      </c>
      <c r="D22" t="s">
        <v>128</v>
      </c>
      <c r="E22">
        <v>0</v>
      </c>
      <c r="F22">
        <v>1</v>
      </c>
      <c r="G22">
        <f t="shared" si="0"/>
        <v>1.735689821931518</v>
      </c>
      <c r="H22">
        <f t="shared" si="1"/>
        <v>2.6912164087038697</v>
      </c>
      <c r="I22">
        <f>H22+0.699433106575963</f>
        <v>3.3906495152798328</v>
      </c>
      <c r="J22">
        <f t="shared" si="5"/>
        <v>3.9426818681372726</v>
      </c>
      <c r="K22" s="2">
        <f t="shared" si="6"/>
        <v>0</v>
      </c>
      <c r="L22">
        <f t="shared" si="7"/>
        <v>1000</v>
      </c>
      <c r="M22">
        <f t="shared" si="8"/>
        <v>1735.6898219315181</v>
      </c>
      <c r="N22">
        <f t="shared" si="9"/>
        <v>2691.2164087038695</v>
      </c>
      <c r="O22">
        <f t="shared" si="10"/>
        <v>3390.6495152798329</v>
      </c>
      <c r="P22">
        <f t="shared" si="11"/>
        <v>3942.6818681372724</v>
      </c>
      <c r="Q22" s="2">
        <f t="shared" si="12"/>
        <v>200</v>
      </c>
      <c r="R22">
        <f t="shared" si="13"/>
        <v>1200</v>
      </c>
      <c r="S22">
        <f t="shared" si="14"/>
        <v>1935.6898219315181</v>
      </c>
      <c r="T22">
        <f t="shared" si="15"/>
        <v>2891.2164087038695</v>
      </c>
      <c r="U22">
        <f t="shared" si="16"/>
        <v>3590.6495152798329</v>
      </c>
      <c r="V22">
        <f t="shared" si="17"/>
        <v>4142.6818681372724</v>
      </c>
    </row>
    <row r="23" spans="1:22" x14ac:dyDescent="0.25">
      <c r="A23" t="s">
        <v>105</v>
      </c>
      <c r="B23" t="s">
        <v>119</v>
      </c>
      <c r="C23" t="s">
        <v>125</v>
      </c>
      <c r="D23" t="s">
        <v>127</v>
      </c>
      <c r="E23">
        <v>0</v>
      </c>
      <c r="F23">
        <v>1</v>
      </c>
      <c r="G23">
        <f t="shared" si="0"/>
        <v>1.735689821931518</v>
      </c>
      <c r="H23">
        <f t="shared" si="1"/>
        <v>2.6912164087038697</v>
      </c>
      <c r="I23">
        <f>H23+0.699433106575963</f>
        <v>3.3906495152798328</v>
      </c>
      <c r="J23">
        <f t="shared" si="5"/>
        <v>3.9426818681372726</v>
      </c>
      <c r="K23" s="2">
        <f t="shared" si="6"/>
        <v>0</v>
      </c>
      <c r="L23">
        <f t="shared" si="7"/>
        <v>1000</v>
      </c>
      <c r="M23">
        <f t="shared" si="8"/>
        <v>1735.6898219315181</v>
      </c>
      <c r="N23">
        <f t="shared" si="9"/>
        <v>2691.2164087038695</v>
      </c>
      <c r="O23">
        <f t="shared" si="10"/>
        <v>3390.6495152798329</v>
      </c>
      <c r="P23">
        <f t="shared" si="11"/>
        <v>3942.6818681372724</v>
      </c>
      <c r="Q23" s="2">
        <f t="shared" si="12"/>
        <v>200</v>
      </c>
      <c r="R23">
        <f t="shared" si="13"/>
        <v>1200</v>
      </c>
      <c r="S23">
        <f t="shared" si="14"/>
        <v>1935.6898219315181</v>
      </c>
      <c r="T23">
        <f t="shared" si="15"/>
        <v>2891.2164087038695</v>
      </c>
      <c r="U23">
        <f t="shared" si="16"/>
        <v>3590.6495152798329</v>
      </c>
      <c r="V23">
        <f t="shared" si="17"/>
        <v>4142.6818681372724</v>
      </c>
    </row>
    <row r="24" spans="1:22" x14ac:dyDescent="0.25">
      <c r="A24" t="s">
        <v>112</v>
      </c>
      <c r="B24" t="s">
        <v>119</v>
      </c>
      <c r="C24" t="s">
        <v>125</v>
      </c>
      <c r="D24" t="s">
        <v>128</v>
      </c>
      <c r="E24">
        <v>0</v>
      </c>
      <c r="F24">
        <v>1</v>
      </c>
      <c r="G24">
        <f t="shared" si="0"/>
        <v>1.735689821931518</v>
      </c>
      <c r="H24">
        <f t="shared" si="1"/>
        <v>2.6912164087038697</v>
      </c>
      <c r="I24">
        <f>H24+0.699433106575963</f>
        <v>3.3906495152798328</v>
      </c>
      <c r="J24">
        <f t="shared" si="5"/>
        <v>3.9426818681372726</v>
      </c>
      <c r="K24" s="2">
        <f t="shared" si="6"/>
        <v>0</v>
      </c>
      <c r="L24">
        <f t="shared" si="7"/>
        <v>1000</v>
      </c>
      <c r="M24">
        <f t="shared" si="8"/>
        <v>1735.6898219315181</v>
      </c>
      <c r="N24">
        <f t="shared" si="9"/>
        <v>2691.2164087038695</v>
      </c>
      <c r="O24">
        <f t="shared" si="10"/>
        <v>3390.6495152798329</v>
      </c>
      <c r="P24">
        <f t="shared" si="11"/>
        <v>3942.6818681372724</v>
      </c>
      <c r="Q24" s="2">
        <f t="shared" si="12"/>
        <v>200</v>
      </c>
      <c r="R24">
        <f t="shared" si="13"/>
        <v>1200</v>
      </c>
      <c r="S24">
        <f t="shared" si="14"/>
        <v>1935.6898219315181</v>
      </c>
      <c r="T24">
        <f t="shared" si="15"/>
        <v>2891.2164087038695</v>
      </c>
      <c r="U24">
        <f t="shared" si="16"/>
        <v>3590.6495152798329</v>
      </c>
      <c r="V24">
        <f t="shared" si="17"/>
        <v>4142.6818681372724</v>
      </c>
    </row>
    <row r="25" spans="1:22" x14ac:dyDescent="0.25">
      <c r="A25" t="s">
        <v>48</v>
      </c>
      <c r="B25" t="s">
        <v>117</v>
      </c>
      <c r="C25" t="s">
        <v>121</v>
      </c>
      <c r="D25" t="s">
        <v>122</v>
      </c>
      <c r="E25">
        <v>0</v>
      </c>
      <c r="F25">
        <v>1</v>
      </c>
      <c r="G25">
        <f t="shared" si="0"/>
        <v>1.735689821931518</v>
      </c>
      <c r="H25">
        <f t="shared" si="1"/>
        <v>2.6912164087038697</v>
      </c>
      <c r="I25">
        <f t="shared" ref="I25:I32" si="19">H25+0.709461112750152</f>
        <v>3.4006775214540217</v>
      </c>
      <c r="J25">
        <f>I25+0.547200784921438</f>
        <v>3.9478783063754594</v>
      </c>
      <c r="K25" s="2">
        <f t="shared" si="6"/>
        <v>0</v>
      </c>
      <c r="L25">
        <f t="shared" si="7"/>
        <v>1000</v>
      </c>
      <c r="M25">
        <f t="shared" si="8"/>
        <v>1735.6898219315181</v>
      </c>
      <c r="N25">
        <f t="shared" si="9"/>
        <v>2691.2164087038695</v>
      </c>
      <c r="O25">
        <f t="shared" si="10"/>
        <v>3400.6775214540216</v>
      </c>
      <c r="P25">
        <f t="shared" si="11"/>
        <v>3947.8783063754595</v>
      </c>
      <c r="Q25" s="2">
        <f t="shared" si="12"/>
        <v>200</v>
      </c>
      <c r="R25">
        <f t="shared" si="13"/>
        <v>1200</v>
      </c>
      <c r="S25">
        <f t="shared" si="14"/>
        <v>1935.6898219315181</v>
      </c>
      <c r="T25">
        <f t="shared" si="15"/>
        <v>2891.2164087038695</v>
      </c>
      <c r="U25">
        <f t="shared" si="16"/>
        <v>3600.6775214540216</v>
      </c>
      <c r="V25">
        <f t="shared" si="17"/>
        <v>4147.8783063754599</v>
      </c>
    </row>
    <row r="26" spans="1:22" x14ac:dyDescent="0.25">
      <c r="A26" t="s">
        <v>49</v>
      </c>
      <c r="B26" t="s">
        <v>117</v>
      </c>
      <c r="C26" t="s">
        <v>121</v>
      </c>
      <c r="D26" t="s">
        <v>123</v>
      </c>
      <c r="E26">
        <v>0</v>
      </c>
      <c r="F26">
        <v>1</v>
      </c>
      <c r="G26">
        <f t="shared" si="0"/>
        <v>1.735689821931518</v>
      </c>
      <c r="H26">
        <f t="shared" si="1"/>
        <v>2.6912164087038697</v>
      </c>
      <c r="I26">
        <f t="shared" si="19"/>
        <v>3.4006775214540217</v>
      </c>
      <c r="J26">
        <f t="shared" ref="J26:J48" si="20">I26+0.547200784921438</f>
        <v>3.9478783063754594</v>
      </c>
      <c r="K26" s="2">
        <f t="shared" si="6"/>
        <v>0</v>
      </c>
      <c r="L26">
        <f t="shared" si="7"/>
        <v>1000</v>
      </c>
      <c r="M26">
        <f t="shared" si="8"/>
        <v>1735.6898219315181</v>
      </c>
      <c r="N26">
        <f t="shared" si="9"/>
        <v>2691.2164087038695</v>
      </c>
      <c r="O26">
        <f t="shared" si="10"/>
        <v>3400.6775214540216</v>
      </c>
      <c r="P26">
        <f t="shared" si="11"/>
        <v>3947.8783063754595</v>
      </c>
      <c r="Q26" s="2">
        <f t="shared" si="12"/>
        <v>200</v>
      </c>
      <c r="R26">
        <f t="shared" si="13"/>
        <v>1200</v>
      </c>
      <c r="S26">
        <f t="shared" si="14"/>
        <v>1935.6898219315181</v>
      </c>
      <c r="T26">
        <f t="shared" si="15"/>
        <v>2891.2164087038695</v>
      </c>
      <c r="U26">
        <f t="shared" si="16"/>
        <v>3600.6775214540216</v>
      </c>
      <c r="V26">
        <f t="shared" si="17"/>
        <v>4147.8783063754599</v>
      </c>
    </row>
    <row r="27" spans="1:22" x14ac:dyDescent="0.25">
      <c r="A27" t="s">
        <v>66</v>
      </c>
      <c r="B27" t="s">
        <v>117</v>
      </c>
      <c r="C27" t="s">
        <v>121</v>
      </c>
      <c r="D27" t="s">
        <v>130</v>
      </c>
      <c r="E27">
        <v>0</v>
      </c>
      <c r="F27">
        <v>1</v>
      </c>
      <c r="G27">
        <f t="shared" si="0"/>
        <v>1.735689821931518</v>
      </c>
      <c r="H27">
        <f t="shared" si="1"/>
        <v>2.6912164087038697</v>
      </c>
      <c r="I27">
        <f t="shared" si="19"/>
        <v>3.4006775214540217</v>
      </c>
      <c r="J27">
        <f t="shared" si="20"/>
        <v>3.9478783063754594</v>
      </c>
      <c r="K27" s="2">
        <f t="shared" si="6"/>
        <v>0</v>
      </c>
      <c r="L27">
        <f t="shared" si="7"/>
        <v>1000</v>
      </c>
      <c r="M27">
        <f t="shared" si="8"/>
        <v>1735.6898219315181</v>
      </c>
      <c r="N27">
        <f t="shared" si="9"/>
        <v>2691.2164087038695</v>
      </c>
      <c r="O27">
        <f t="shared" si="10"/>
        <v>3400.6775214540216</v>
      </c>
      <c r="P27">
        <f t="shared" si="11"/>
        <v>3947.8783063754595</v>
      </c>
      <c r="Q27" s="2">
        <f t="shared" si="12"/>
        <v>200</v>
      </c>
      <c r="R27">
        <f t="shared" si="13"/>
        <v>1200</v>
      </c>
      <c r="S27">
        <f t="shared" si="14"/>
        <v>1935.6898219315181</v>
      </c>
      <c r="T27">
        <f t="shared" si="15"/>
        <v>2891.2164087038695</v>
      </c>
      <c r="U27">
        <f t="shared" si="16"/>
        <v>3600.6775214540216</v>
      </c>
      <c r="V27">
        <f t="shared" si="17"/>
        <v>4147.8783063754599</v>
      </c>
    </row>
    <row r="28" spans="1:22" x14ac:dyDescent="0.25">
      <c r="A28" t="s">
        <v>67</v>
      </c>
      <c r="B28" t="s">
        <v>117</v>
      </c>
      <c r="C28" t="s">
        <v>121</v>
      </c>
      <c r="D28" t="s">
        <v>124</v>
      </c>
      <c r="E28">
        <v>0</v>
      </c>
      <c r="F28">
        <v>1</v>
      </c>
      <c r="G28">
        <f t="shared" si="0"/>
        <v>1.735689821931518</v>
      </c>
      <c r="H28">
        <f t="shared" si="1"/>
        <v>2.6912164087038697</v>
      </c>
      <c r="I28">
        <f t="shared" si="19"/>
        <v>3.4006775214540217</v>
      </c>
      <c r="J28">
        <f t="shared" si="20"/>
        <v>3.9478783063754594</v>
      </c>
      <c r="K28" s="2">
        <f t="shared" si="6"/>
        <v>0</v>
      </c>
      <c r="L28">
        <f t="shared" si="7"/>
        <v>1000</v>
      </c>
      <c r="M28">
        <f t="shared" si="8"/>
        <v>1735.6898219315181</v>
      </c>
      <c r="N28">
        <f t="shared" si="9"/>
        <v>2691.2164087038695</v>
      </c>
      <c r="O28">
        <f t="shared" si="10"/>
        <v>3400.6775214540216</v>
      </c>
      <c r="P28">
        <f t="shared" si="11"/>
        <v>3947.8783063754595</v>
      </c>
      <c r="Q28" s="2">
        <f t="shared" si="12"/>
        <v>200</v>
      </c>
      <c r="R28">
        <f t="shared" si="13"/>
        <v>1200</v>
      </c>
      <c r="S28">
        <f t="shared" si="14"/>
        <v>1935.6898219315181</v>
      </c>
      <c r="T28">
        <f t="shared" si="15"/>
        <v>2891.2164087038695</v>
      </c>
      <c r="U28">
        <f t="shared" si="16"/>
        <v>3600.6775214540216</v>
      </c>
      <c r="V28">
        <f t="shared" si="17"/>
        <v>4147.8783063754599</v>
      </c>
    </row>
    <row r="29" spans="1:22" x14ac:dyDescent="0.25">
      <c r="A29" t="s">
        <v>82</v>
      </c>
      <c r="B29" t="s">
        <v>117</v>
      </c>
      <c r="C29" t="s">
        <v>121</v>
      </c>
      <c r="D29" t="s">
        <v>130</v>
      </c>
      <c r="E29">
        <v>0</v>
      </c>
      <c r="F29">
        <v>1</v>
      </c>
      <c r="G29">
        <f t="shared" si="0"/>
        <v>1.735689821931518</v>
      </c>
      <c r="H29">
        <f t="shared" si="1"/>
        <v>2.6912164087038697</v>
      </c>
      <c r="I29">
        <f t="shared" si="19"/>
        <v>3.4006775214540217</v>
      </c>
      <c r="J29">
        <f t="shared" si="20"/>
        <v>3.9478783063754594</v>
      </c>
      <c r="K29" s="2">
        <f t="shared" si="6"/>
        <v>0</v>
      </c>
      <c r="L29">
        <f t="shared" si="7"/>
        <v>1000</v>
      </c>
      <c r="M29">
        <f t="shared" si="8"/>
        <v>1735.6898219315181</v>
      </c>
      <c r="N29">
        <f t="shared" si="9"/>
        <v>2691.2164087038695</v>
      </c>
      <c r="O29">
        <f t="shared" si="10"/>
        <v>3400.6775214540216</v>
      </c>
      <c r="P29">
        <f t="shared" si="11"/>
        <v>3947.8783063754595</v>
      </c>
      <c r="Q29" s="2">
        <f t="shared" si="12"/>
        <v>200</v>
      </c>
      <c r="R29">
        <f t="shared" si="13"/>
        <v>1200</v>
      </c>
      <c r="S29">
        <f t="shared" si="14"/>
        <v>1935.6898219315181</v>
      </c>
      <c r="T29">
        <f t="shared" si="15"/>
        <v>2891.2164087038695</v>
      </c>
      <c r="U29">
        <f t="shared" si="16"/>
        <v>3600.6775214540216</v>
      </c>
      <c r="V29">
        <f t="shared" si="17"/>
        <v>4147.8783063754599</v>
      </c>
    </row>
    <row r="30" spans="1:22" x14ac:dyDescent="0.25">
      <c r="A30" t="s">
        <v>83</v>
      </c>
      <c r="B30" t="s">
        <v>117</v>
      </c>
      <c r="C30" t="s">
        <v>121</v>
      </c>
      <c r="D30" t="s">
        <v>123</v>
      </c>
      <c r="E30">
        <v>0</v>
      </c>
      <c r="F30">
        <v>1</v>
      </c>
      <c r="G30">
        <f t="shared" si="0"/>
        <v>1.735689821931518</v>
      </c>
      <c r="H30">
        <f t="shared" si="1"/>
        <v>2.6912164087038697</v>
      </c>
      <c r="I30">
        <f t="shared" si="19"/>
        <v>3.4006775214540217</v>
      </c>
      <c r="J30">
        <f t="shared" si="20"/>
        <v>3.9478783063754594</v>
      </c>
      <c r="K30" s="2">
        <f t="shared" si="6"/>
        <v>0</v>
      </c>
      <c r="L30">
        <f t="shared" si="7"/>
        <v>1000</v>
      </c>
      <c r="M30">
        <f t="shared" si="8"/>
        <v>1735.6898219315181</v>
      </c>
      <c r="N30">
        <f t="shared" si="9"/>
        <v>2691.2164087038695</v>
      </c>
      <c r="O30">
        <f t="shared" si="10"/>
        <v>3400.6775214540216</v>
      </c>
      <c r="P30">
        <f t="shared" si="11"/>
        <v>3947.8783063754595</v>
      </c>
      <c r="Q30" s="2">
        <f t="shared" si="12"/>
        <v>200</v>
      </c>
      <c r="R30">
        <f t="shared" si="13"/>
        <v>1200</v>
      </c>
      <c r="S30">
        <f t="shared" si="14"/>
        <v>1935.6898219315181</v>
      </c>
      <c r="T30">
        <f t="shared" si="15"/>
        <v>2891.2164087038695</v>
      </c>
      <c r="U30">
        <f t="shared" si="16"/>
        <v>3600.6775214540216</v>
      </c>
      <c r="V30">
        <f t="shared" si="17"/>
        <v>4147.8783063754599</v>
      </c>
    </row>
    <row r="31" spans="1:22" x14ac:dyDescent="0.25">
      <c r="A31" t="s">
        <v>91</v>
      </c>
      <c r="B31" t="s">
        <v>117</v>
      </c>
      <c r="C31" t="s">
        <v>121</v>
      </c>
      <c r="D31" t="s">
        <v>124</v>
      </c>
      <c r="E31">
        <v>0</v>
      </c>
      <c r="F31">
        <v>1</v>
      </c>
      <c r="G31">
        <f t="shared" si="0"/>
        <v>1.735689821931518</v>
      </c>
      <c r="H31">
        <f t="shared" si="1"/>
        <v>2.6912164087038697</v>
      </c>
      <c r="I31">
        <f t="shared" si="19"/>
        <v>3.4006775214540217</v>
      </c>
      <c r="J31">
        <f t="shared" si="20"/>
        <v>3.9478783063754594</v>
      </c>
      <c r="K31" s="2">
        <f t="shared" si="6"/>
        <v>0</v>
      </c>
      <c r="L31">
        <f t="shared" si="7"/>
        <v>1000</v>
      </c>
      <c r="M31">
        <f t="shared" si="8"/>
        <v>1735.6898219315181</v>
      </c>
      <c r="N31">
        <f t="shared" si="9"/>
        <v>2691.2164087038695</v>
      </c>
      <c r="O31">
        <f t="shared" si="10"/>
        <v>3400.6775214540216</v>
      </c>
      <c r="P31">
        <f t="shared" si="11"/>
        <v>3947.8783063754595</v>
      </c>
      <c r="Q31" s="2">
        <f t="shared" si="12"/>
        <v>200</v>
      </c>
      <c r="R31">
        <f t="shared" si="13"/>
        <v>1200</v>
      </c>
      <c r="S31">
        <f t="shared" si="14"/>
        <v>1935.6898219315181</v>
      </c>
      <c r="T31">
        <f t="shared" si="15"/>
        <v>2891.2164087038695</v>
      </c>
      <c r="U31">
        <f t="shared" si="16"/>
        <v>3600.6775214540216</v>
      </c>
      <c r="V31">
        <f t="shared" si="17"/>
        <v>4147.8783063754599</v>
      </c>
    </row>
    <row r="32" spans="1:22" x14ac:dyDescent="0.25">
      <c r="A32" t="s">
        <v>92</v>
      </c>
      <c r="B32" t="s">
        <v>117</v>
      </c>
      <c r="C32" t="s">
        <v>121</v>
      </c>
      <c r="D32" t="s">
        <v>122</v>
      </c>
      <c r="E32">
        <v>0</v>
      </c>
      <c r="F32">
        <v>1</v>
      </c>
      <c r="G32">
        <f t="shared" si="0"/>
        <v>1.735689821931518</v>
      </c>
      <c r="H32">
        <f t="shared" si="1"/>
        <v>2.6912164087038697</v>
      </c>
      <c r="I32">
        <f t="shared" si="19"/>
        <v>3.4006775214540217</v>
      </c>
      <c r="J32">
        <f t="shared" si="20"/>
        <v>3.9478783063754594</v>
      </c>
      <c r="K32" s="2">
        <f t="shared" si="6"/>
        <v>0</v>
      </c>
      <c r="L32">
        <f t="shared" si="7"/>
        <v>1000</v>
      </c>
      <c r="M32">
        <f t="shared" si="8"/>
        <v>1735.6898219315181</v>
      </c>
      <c r="N32">
        <f t="shared" si="9"/>
        <v>2691.2164087038695</v>
      </c>
      <c r="O32">
        <f t="shared" si="10"/>
        <v>3400.6775214540216</v>
      </c>
      <c r="P32">
        <f t="shared" si="11"/>
        <v>3947.8783063754595</v>
      </c>
      <c r="Q32" s="2">
        <f t="shared" si="12"/>
        <v>200</v>
      </c>
      <c r="R32">
        <f t="shared" si="13"/>
        <v>1200</v>
      </c>
      <c r="S32">
        <f t="shared" si="14"/>
        <v>1935.6898219315181</v>
      </c>
      <c r="T32">
        <f t="shared" si="15"/>
        <v>2891.2164087038695</v>
      </c>
      <c r="U32">
        <f t="shared" si="16"/>
        <v>3600.6775214540216</v>
      </c>
      <c r="V32">
        <f t="shared" si="17"/>
        <v>4147.8783063754599</v>
      </c>
    </row>
    <row r="33" spans="1:22" x14ac:dyDescent="0.25">
      <c r="A33" t="s">
        <v>52</v>
      </c>
      <c r="B33" t="s">
        <v>113</v>
      </c>
      <c r="C33" t="s">
        <v>121</v>
      </c>
      <c r="D33" t="s">
        <v>124</v>
      </c>
      <c r="E33">
        <v>0</v>
      </c>
      <c r="F33">
        <v>1</v>
      </c>
      <c r="G33">
        <f t="shared" si="0"/>
        <v>1.735689821931518</v>
      </c>
      <c r="H33">
        <f t="shared" si="1"/>
        <v>2.6912164087038697</v>
      </c>
      <c r="I33">
        <f t="shared" ref="I33:I39" si="21">H33+0.711451247165532</f>
        <v>3.4026676558694016</v>
      </c>
      <c r="J33">
        <f t="shared" si="20"/>
        <v>3.9498684407908398</v>
      </c>
      <c r="K33" s="2">
        <f t="shared" si="6"/>
        <v>0</v>
      </c>
      <c r="L33">
        <f t="shared" si="7"/>
        <v>1000</v>
      </c>
      <c r="M33">
        <f t="shared" si="8"/>
        <v>1735.6898219315181</v>
      </c>
      <c r="N33">
        <f t="shared" si="9"/>
        <v>2691.2164087038695</v>
      </c>
      <c r="O33">
        <f t="shared" si="10"/>
        <v>3402.6676558694016</v>
      </c>
      <c r="P33">
        <f t="shared" si="11"/>
        <v>3949.8684407908399</v>
      </c>
      <c r="Q33" s="2">
        <f t="shared" si="12"/>
        <v>200</v>
      </c>
      <c r="R33">
        <f t="shared" si="13"/>
        <v>1200</v>
      </c>
      <c r="S33">
        <f t="shared" si="14"/>
        <v>1935.6898219315181</v>
      </c>
      <c r="T33">
        <f t="shared" si="15"/>
        <v>2891.2164087038695</v>
      </c>
      <c r="U33">
        <f t="shared" si="16"/>
        <v>3602.6676558694016</v>
      </c>
      <c r="V33">
        <f t="shared" si="17"/>
        <v>4149.8684407908404</v>
      </c>
    </row>
    <row r="34" spans="1:22" x14ac:dyDescent="0.25">
      <c r="A34" t="s">
        <v>53</v>
      </c>
      <c r="B34" t="s">
        <v>113</v>
      </c>
      <c r="C34" t="s">
        <v>121</v>
      </c>
      <c r="D34" t="s">
        <v>122</v>
      </c>
      <c r="E34">
        <v>0</v>
      </c>
      <c r="F34">
        <v>1</v>
      </c>
      <c r="G34">
        <f t="shared" ref="G34:G65" si="22">F34+0.735689821931518</f>
        <v>1.735689821931518</v>
      </c>
      <c r="H34">
        <f t="shared" ref="H34:H65" si="23">F34+1.69121640870387</f>
        <v>2.6912164087038697</v>
      </c>
      <c r="I34">
        <f t="shared" si="21"/>
        <v>3.4026676558694016</v>
      </c>
      <c r="J34">
        <f t="shared" si="20"/>
        <v>3.9498684407908398</v>
      </c>
      <c r="K34" s="2">
        <f t="shared" si="6"/>
        <v>0</v>
      </c>
      <c r="L34">
        <f t="shared" si="7"/>
        <v>1000</v>
      </c>
      <c r="M34">
        <f t="shared" si="8"/>
        <v>1735.6898219315181</v>
      </c>
      <c r="N34">
        <f t="shared" si="9"/>
        <v>2691.2164087038695</v>
      </c>
      <c r="O34">
        <f t="shared" si="10"/>
        <v>3402.6676558694016</v>
      </c>
      <c r="P34">
        <f t="shared" si="11"/>
        <v>3949.8684407908399</v>
      </c>
      <c r="Q34" s="2">
        <f t="shared" si="12"/>
        <v>200</v>
      </c>
      <c r="R34">
        <f t="shared" si="13"/>
        <v>1200</v>
      </c>
      <c r="S34">
        <f t="shared" si="14"/>
        <v>1935.6898219315181</v>
      </c>
      <c r="T34">
        <f t="shared" si="15"/>
        <v>2891.2164087038695</v>
      </c>
      <c r="U34">
        <f t="shared" si="16"/>
        <v>3602.6676558694016</v>
      </c>
      <c r="V34">
        <f t="shared" si="17"/>
        <v>4149.8684407908404</v>
      </c>
    </row>
    <row r="35" spans="1:22" x14ac:dyDescent="0.25">
      <c r="A35" t="s">
        <v>70</v>
      </c>
      <c r="B35" t="s">
        <v>113</v>
      </c>
      <c r="C35" t="s">
        <v>121</v>
      </c>
      <c r="D35" t="s">
        <v>130</v>
      </c>
      <c r="E35">
        <v>0</v>
      </c>
      <c r="F35">
        <v>1</v>
      </c>
      <c r="G35">
        <f t="shared" si="22"/>
        <v>1.735689821931518</v>
      </c>
      <c r="H35">
        <f t="shared" si="23"/>
        <v>2.6912164087038697</v>
      </c>
      <c r="I35">
        <f t="shared" si="21"/>
        <v>3.4026676558694016</v>
      </c>
      <c r="J35">
        <f t="shared" si="20"/>
        <v>3.9498684407908398</v>
      </c>
      <c r="K35" s="2">
        <f t="shared" si="6"/>
        <v>0</v>
      </c>
      <c r="L35">
        <f t="shared" si="7"/>
        <v>1000</v>
      </c>
      <c r="M35">
        <f t="shared" si="8"/>
        <v>1735.6898219315181</v>
      </c>
      <c r="N35">
        <f t="shared" si="9"/>
        <v>2691.2164087038695</v>
      </c>
      <c r="O35">
        <f t="shared" si="10"/>
        <v>3402.6676558694016</v>
      </c>
      <c r="P35">
        <f t="shared" si="11"/>
        <v>3949.8684407908399</v>
      </c>
      <c r="Q35" s="2">
        <f t="shared" si="12"/>
        <v>200</v>
      </c>
      <c r="R35">
        <f t="shared" si="13"/>
        <v>1200</v>
      </c>
      <c r="S35">
        <f t="shared" si="14"/>
        <v>1935.6898219315181</v>
      </c>
      <c r="T35">
        <f t="shared" si="15"/>
        <v>2891.2164087038695</v>
      </c>
      <c r="U35">
        <f t="shared" si="16"/>
        <v>3602.6676558694016</v>
      </c>
      <c r="V35">
        <f t="shared" si="17"/>
        <v>4149.8684407908404</v>
      </c>
    </row>
    <row r="36" spans="1:22" x14ac:dyDescent="0.25">
      <c r="A36" t="s">
        <v>71</v>
      </c>
      <c r="B36" t="s">
        <v>113</v>
      </c>
      <c r="C36" t="s">
        <v>121</v>
      </c>
      <c r="D36" t="s">
        <v>123</v>
      </c>
      <c r="E36">
        <v>0</v>
      </c>
      <c r="F36">
        <v>1</v>
      </c>
      <c r="G36">
        <f t="shared" si="22"/>
        <v>1.735689821931518</v>
      </c>
      <c r="H36">
        <f t="shared" si="23"/>
        <v>2.6912164087038697</v>
      </c>
      <c r="I36">
        <f t="shared" si="21"/>
        <v>3.4026676558694016</v>
      </c>
      <c r="J36">
        <f t="shared" si="20"/>
        <v>3.9498684407908398</v>
      </c>
      <c r="K36" s="2">
        <f t="shared" si="6"/>
        <v>0</v>
      </c>
      <c r="L36">
        <f t="shared" si="7"/>
        <v>1000</v>
      </c>
      <c r="M36">
        <f t="shared" si="8"/>
        <v>1735.6898219315181</v>
      </c>
      <c r="N36">
        <f t="shared" si="9"/>
        <v>2691.2164087038695</v>
      </c>
      <c r="O36">
        <f t="shared" si="10"/>
        <v>3402.6676558694016</v>
      </c>
      <c r="P36">
        <f t="shared" si="11"/>
        <v>3949.8684407908399</v>
      </c>
      <c r="Q36" s="2">
        <f t="shared" si="12"/>
        <v>200</v>
      </c>
      <c r="R36">
        <f t="shared" si="13"/>
        <v>1200</v>
      </c>
      <c r="S36">
        <f t="shared" si="14"/>
        <v>1935.6898219315181</v>
      </c>
      <c r="T36">
        <f t="shared" si="15"/>
        <v>2891.2164087038695</v>
      </c>
      <c r="U36">
        <f t="shared" si="16"/>
        <v>3602.6676558694016</v>
      </c>
      <c r="V36">
        <f t="shared" si="17"/>
        <v>4149.8684407908404</v>
      </c>
    </row>
    <row r="37" spans="1:22" x14ac:dyDescent="0.25">
      <c r="A37" t="s">
        <v>81</v>
      </c>
      <c r="B37" t="s">
        <v>113</v>
      </c>
      <c r="C37" t="s">
        <v>121</v>
      </c>
      <c r="D37" t="s">
        <v>130</v>
      </c>
      <c r="E37">
        <v>0</v>
      </c>
      <c r="F37">
        <v>1</v>
      </c>
      <c r="G37">
        <f t="shared" si="22"/>
        <v>1.735689821931518</v>
      </c>
      <c r="H37">
        <f t="shared" si="23"/>
        <v>2.6912164087038697</v>
      </c>
      <c r="I37">
        <f t="shared" si="21"/>
        <v>3.4026676558694016</v>
      </c>
      <c r="J37">
        <f t="shared" si="20"/>
        <v>3.9498684407908398</v>
      </c>
      <c r="K37" s="2">
        <f t="shared" si="6"/>
        <v>0</v>
      </c>
      <c r="L37">
        <f t="shared" si="7"/>
        <v>1000</v>
      </c>
      <c r="M37">
        <f t="shared" si="8"/>
        <v>1735.6898219315181</v>
      </c>
      <c r="N37">
        <f t="shared" si="9"/>
        <v>2691.2164087038695</v>
      </c>
      <c r="O37">
        <f t="shared" si="10"/>
        <v>3402.6676558694016</v>
      </c>
      <c r="P37">
        <f t="shared" si="11"/>
        <v>3949.8684407908399</v>
      </c>
      <c r="Q37" s="2">
        <f t="shared" si="12"/>
        <v>200</v>
      </c>
      <c r="R37">
        <f t="shared" si="13"/>
        <v>1200</v>
      </c>
      <c r="S37">
        <f t="shared" si="14"/>
        <v>1935.6898219315181</v>
      </c>
      <c r="T37">
        <f t="shared" si="15"/>
        <v>2891.2164087038695</v>
      </c>
      <c r="U37">
        <f t="shared" si="16"/>
        <v>3602.6676558694016</v>
      </c>
      <c r="V37">
        <f t="shared" si="17"/>
        <v>4149.8684407908404</v>
      </c>
    </row>
    <row r="38" spans="1:22" x14ac:dyDescent="0.25">
      <c r="A38" t="s">
        <v>102</v>
      </c>
      <c r="B38" t="s">
        <v>113</v>
      </c>
      <c r="C38" t="s">
        <v>121</v>
      </c>
      <c r="D38" t="s">
        <v>124</v>
      </c>
      <c r="E38">
        <v>0</v>
      </c>
      <c r="F38">
        <v>1</v>
      </c>
      <c r="G38">
        <f t="shared" si="22"/>
        <v>1.735689821931518</v>
      </c>
      <c r="H38">
        <f t="shared" si="23"/>
        <v>2.6912164087038697</v>
      </c>
      <c r="I38">
        <f t="shared" si="21"/>
        <v>3.4026676558694016</v>
      </c>
      <c r="J38">
        <f t="shared" si="20"/>
        <v>3.9498684407908398</v>
      </c>
      <c r="K38" s="2">
        <f t="shared" si="6"/>
        <v>0</v>
      </c>
      <c r="L38">
        <f t="shared" si="7"/>
        <v>1000</v>
      </c>
      <c r="M38">
        <f t="shared" si="8"/>
        <v>1735.6898219315181</v>
      </c>
      <c r="N38">
        <f t="shared" si="9"/>
        <v>2691.2164087038695</v>
      </c>
      <c r="O38">
        <f t="shared" si="10"/>
        <v>3402.6676558694016</v>
      </c>
      <c r="P38">
        <f t="shared" si="11"/>
        <v>3949.8684407908399</v>
      </c>
      <c r="Q38" s="2">
        <f t="shared" si="12"/>
        <v>200</v>
      </c>
      <c r="R38">
        <f t="shared" si="13"/>
        <v>1200</v>
      </c>
      <c r="S38">
        <f t="shared" si="14"/>
        <v>1935.6898219315181</v>
      </c>
      <c r="T38">
        <f t="shared" si="15"/>
        <v>2891.2164087038695</v>
      </c>
      <c r="U38">
        <f t="shared" si="16"/>
        <v>3602.6676558694016</v>
      </c>
      <c r="V38">
        <f t="shared" si="17"/>
        <v>4149.8684407908404</v>
      </c>
    </row>
    <row r="39" spans="1:22" x14ac:dyDescent="0.25">
      <c r="A39" t="s">
        <v>109</v>
      </c>
      <c r="B39" t="s">
        <v>113</v>
      </c>
      <c r="C39" t="s">
        <v>121</v>
      </c>
      <c r="D39" t="s">
        <v>122</v>
      </c>
      <c r="E39">
        <v>0</v>
      </c>
      <c r="F39">
        <v>1</v>
      </c>
      <c r="G39">
        <f t="shared" si="22"/>
        <v>1.735689821931518</v>
      </c>
      <c r="H39">
        <f t="shared" si="23"/>
        <v>2.6912164087038697</v>
      </c>
      <c r="I39">
        <f t="shared" si="21"/>
        <v>3.4026676558694016</v>
      </c>
      <c r="J39">
        <f t="shared" si="20"/>
        <v>3.9498684407908398</v>
      </c>
      <c r="K39" s="2">
        <f t="shared" si="6"/>
        <v>0</v>
      </c>
      <c r="L39">
        <f t="shared" si="7"/>
        <v>1000</v>
      </c>
      <c r="M39">
        <f t="shared" si="8"/>
        <v>1735.6898219315181</v>
      </c>
      <c r="N39">
        <f t="shared" si="9"/>
        <v>2691.2164087038695</v>
      </c>
      <c r="O39">
        <f t="shared" si="10"/>
        <v>3402.6676558694016</v>
      </c>
      <c r="P39">
        <f t="shared" si="11"/>
        <v>3949.8684407908399</v>
      </c>
      <c r="Q39" s="2">
        <f t="shared" si="12"/>
        <v>200</v>
      </c>
      <c r="R39">
        <f t="shared" si="13"/>
        <v>1200</v>
      </c>
      <c r="S39">
        <f t="shared" si="14"/>
        <v>1935.6898219315181</v>
      </c>
      <c r="T39">
        <f t="shared" si="15"/>
        <v>2891.2164087038695</v>
      </c>
      <c r="U39">
        <f t="shared" si="16"/>
        <v>3602.6676558694016</v>
      </c>
      <c r="V39">
        <f t="shared" si="17"/>
        <v>4149.8684407908404</v>
      </c>
    </row>
    <row r="40" spans="1:22" x14ac:dyDescent="0.25">
      <c r="A40" t="s">
        <v>51</v>
      </c>
      <c r="B40" t="s">
        <v>120</v>
      </c>
      <c r="C40" t="s">
        <v>121</v>
      </c>
      <c r="D40" t="s">
        <v>122</v>
      </c>
      <c r="E40">
        <v>0</v>
      </c>
      <c r="F40">
        <v>1</v>
      </c>
      <c r="G40">
        <f t="shared" si="22"/>
        <v>1.735689821931518</v>
      </c>
      <c r="H40">
        <f t="shared" si="23"/>
        <v>2.6912164087038697</v>
      </c>
      <c r="I40">
        <f>H40+0.712947845804988</f>
        <v>3.4041642545088577</v>
      </c>
      <c r="J40">
        <f t="shared" si="20"/>
        <v>3.9513650394302955</v>
      </c>
      <c r="K40" s="2">
        <f t="shared" si="6"/>
        <v>0</v>
      </c>
      <c r="L40">
        <f t="shared" si="7"/>
        <v>1000</v>
      </c>
      <c r="M40">
        <f t="shared" si="8"/>
        <v>1735.6898219315181</v>
      </c>
      <c r="N40">
        <f t="shared" si="9"/>
        <v>2691.2164087038695</v>
      </c>
      <c r="O40">
        <f t="shared" si="10"/>
        <v>3404.1642545088575</v>
      </c>
      <c r="P40">
        <f t="shared" si="11"/>
        <v>3951.3650394302954</v>
      </c>
      <c r="Q40" s="2">
        <f t="shared" si="12"/>
        <v>200</v>
      </c>
      <c r="R40">
        <f t="shared" si="13"/>
        <v>1200</v>
      </c>
      <c r="S40">
        <f t="shared" si="14"/>
        <v>1935.6898219315181</v>
      </c>
      <c r="T40">
        <f t="shared" si="15"/>
        <v>2891.2164087038695</v>
      </c>
      <c r="U40">
        <f t="shared" si="16"/>
        <v>3604.1642545088575</v>
      </c>
      <c r="V40">
        <f t="shared" si="17"/>
        <v>4151.3650394302949</v>
      </c>
    </row>
    <row r="41" spans="1:22" x14ac:dyDescent="0.25">
      <c r="A41" t="s">
        <v>68</v>
      </c>
      <c r="B41" t="s">
        <v>120</v>
      </c>
      <c r="C41" t="s">
        <v>121</v>
      </c>
      <c r="D41" t="s">
        <v>124</v>
      </c>
      <c r="E41">
        <v>0</v>
      </c>
      <c r="F41">
        <v>1</v>
      </c>
      <c r="G41">
        <f t="shared" si="22"/>
        <v>1.735689821931518</v>
      </c>
      <c r="H41">
        <f t="shared" si="23"/>
        <v>2.6912164087038697</v>
      </c>
      <c r="I41">
        <f>H41+0.712947845804988</f>
        <v>3.4041642545088577</v>
      </c>
      <c r="J41">
        <f t="shared" si="20"/>
        <v>3.9513650394302955</v>
      </c>
      <c r="K41" s="2">
        <f t="shared" si="6"/>
        <v>0</v>
      </c>
      <c r="L41">
        <f t="shared" si="7"/>
        <v>1000</v>
      </c>
      <c r="M41">
        <f t="shared" si="8"/>
        <v>1735.6898219315181</v>
      </c>
      <c r="N41">
        <f t="shared" si="9"/>
        <v>2691.2164087038695</v>
      </c>
      <c r="O41">
        <f t="shared" si="10"/>
        <v>3404.1642545088575</v>
      </c>
      <c r="P41">
        <f t="shared" si="11"/>
        <v>3951.3650394302954</v>
      </c>
      <c r="Q41" s="2">
        <f t="shared" si="12"/>
        <v>200</v>
      </c>
      <c r="R41">
        <f t="shared" si="13"/>
        <v>1200</v>
      </c>
      <c r="S41">
        <f t="shared" si="14"/>
        <v>1935.6898219315181</v>
      </c>
      <c r="T41">
        <f t="shared" si="15"/>
        <v>2891.2164087038695</v>
      </c>
      <c r="U41">
        <f t="shared" si="16"/>
        <v>3604.1642545088575</v>
      </c>
      <c r="V41">
        <f t="shared" si="17"/>
        <v>4151.3650394302949</v>
      </c>
    </row>
    <row r="42" spans="1:22" x14ac:dyDescent="0.25">
      <c r="A42" t="s">
        <v>80</v>
      </c>
      <c r="B42" t="s">
        <v>120</v>
      </c>
      <c r="C42" t="s">
        <v>121</v>
      </c>
      <c r="D42" t="s">
        <v>123</v>
      </c>
      <c r="E42">
        <v>0</v>
      </c>
      <c r="F42">
        <v>1</v>
      </c>
      <c r="G42">
        <f t="shared" si="22"/>
        <v>1.735689821931518</v>
      </c>
      <c r="H42">
        <f t="shared" si="23"/>
        <v>2.6912164087038697</v>
      </c>
      <c r="I42">
        <f>H42+0.712947845804988</f>
        <v>3.4041642545088577</v>
      </c>
      <c r="J42">
        <f t="shared" si="20"/>
        <v>3.9513650394302955</v>
      </c>
      <c r="K42" s="2">
        <f t="shared" si="6"/>
        <v>0</v>
      </c>
      <c r="L42">
        <f t="shared" si="7"/>
        <v>1000</v>
      </c>
      <c r="M42">
        <f t="shared" si="8"/>
        <v>1735.6898219315181</v>
      </c>
      <c r="N42">
        <f t="shared" si="9"/>
        <v>2691.2164087038695</v>
      </c>
      <c r="O42">
        <f t="shared" si="10"/>
        <v>3404.1642545088575</v>
      </c>
      <c r="P42">
        <f t="shared" si="11"/>
        <v>3951.3650394302954</v>
      </c>
      <c r="Q42" s="2">
        <f t="shared" si="12"/>
        <v>200</v>
      </c>
      <c r="R42">
        <f t="shared" si="13"/>
        <v>1200</v>
      </c>
      <c r="S42">
        <f t="shared" si="14"/>
        <v>1935.6898219315181</v>
      </c>
      <c r="T42">
        <f t="shared" si="15"/>
        <v>2891.2164087038695</v>
      </c>
      <c r="U42">
        <f t="shared" si="16"/>
        <v>3604.1642545088575</v>
      </c>
      <c r="V42">
        <f t="shared" si="17"/>
        <v>4151.3650394302949</v>
      </c>
    </row>
    <row r="43" spans="1:22" x14ac:dyDescent="0.25">
      <c r="A43" t="s">
        <v>103</v>
      </c>
      <c r="B43" t="s">
        <v>120</v>
      </c>
      <c r="C43" t="s">
        <v>121</v>
      </c>
      <c r="D43" t="s">
        <v>130</v>
      </c>
      <c r="E43">
        <v>0</v>
      </c>
      <c r="F43">
        <v>1</v>
      </c>
      <c r="G43">
        <f t="shared" si="22"/>
        <v>1.735689821931518</v>
      </c>
      <c r="H43">
        <f t="shared" si="23"/>
        <v>2.6912164087038697</v>
      </c>
      <c r="I43">
        <f>H43+0.712947845804988</f>
        <v>3.4041642545088577</v>
      </c>
      <c r="J43">
        <f t="shared" si="20"/>
        <v>3.9513650394302955</v>
      </c>
      <c r="K43" s="2">
        <f t="shared" si="6"/>
        <v>0</v>
      </c>
      <c r="L43">
        <f t="shared" si="7"/>
        <v>1000</v>
      </c>
      <c r="M43">
        <f t="shared" si="8"/>
        <v>1735.6898219315181</v>
      </c>
      <c r="N43">
        <f t="shared" si="9"/>
        <v>2691.2164087038695</v>
      </c>
      <c r="O43">
        <f t="shared" si="10"/>
        <v>3404.1642545088575</v>
      </c>
      <c r="P43">
        <f t="shared" si="11"/>
        <v>3951.3650394302954</v>
      </c>
      <c r="Q43" s="2">
        <f t="shared" si="12"/>
        <v>200</v>
      </c>
      <c r="R43">
        <f t="shared" si="13"/>
        <v>1200</v>
      </c>
      <c r="S43">
        <f t="shared" si="14"/>
        <v>1935.6898219315181</v>
      </c>
      <c r="T43">
        <f t="shared" si="15"/>
        <v>2891.2164087038695</v>
      </c>
      <c r="U43">
        <f t="shared" si="16"/>
        <v>3604.1642545088575</v>
      </c>
      <c r="V43">
        <f t="shared" si="17"/>
        <v>4151.3650394302949</v>
      </c>
    </row>
    <row r="44" spans="1:22" x14ac:dyDescent="0.25">
      <c r="A44" t="s">
        <v>50</v>
      </c>
      <c r="B44" t="s">
        <v>119</v>
      </c>
      <c r="C44" t="s">
        <v>121</v>
      </c>
      <c r="D44" t="s">
        <v>123</v>
      </c>
      <c r="E44">
        <v>0</v>
      </c>
      <c r="F44">
        <v>1</v>
      </c>
      <c r="G44">
        <f t="shared" si="22"/>
        <v>1.735689821931518</v>
      </c>
      <c r="H44">
        <f t="shared" si="23"/>
        <v>2.6912164087038697</v>
      </c>
      <c r="I44">
        <f>H44+0.699433106575963</f>
        <v>3.3906495152798328</v>
      </c>
      <c r="J44">
        <f t="shared" si="20"/>
        <v>3.937850300201271</v>
      </c>
      <c r="K44" s="2">
        <f t="shared" si="6"/>
        <v>0</v>
      </c>
      <c r="L44">
        <f t="shared" si="7"/>
        <v>1000</v>
      </c>
      <c r="M44">
        <f t="shared" si="8"/>
        <v>1735.6898219315181</v>
      </c>
      <c r="N44">
        <f t="shared" si="9"/>
        <v>2691.2164087038695</v>
      </c>
      <c r="O44">
        <f t="shared" si="10"/>
        <v>3390.6495152798329</v>
      </c>
      <c r="P44">
        <f t="shared" si="11"/>
        <v>3937.8503002012712</v>
      </c>
      <c r="Q44" s="2">
        <f t="shared" si="12"/>
        <v>200</v>
      </c>
      <c r="R44">
        <f t="shared" si="13"/>
        <v>1200</v>
      </c>
      <c r="S44">
        <f t="shared" si="14"/>
        <v>1935.6898219315181</v>
      </c>
      <c r="T44">
        <f t="shared" si="15"/>
        <v>2891.2164087038695</v>
      </c>
      <c r="U44">
        <f t="shared" si="16"/>
        <v>3590.6495152798329</v>
      </c>
      <c r="V44">
        <f t="shared" si="17"/>
        <v>4137.8503002012712</v>
      </c>
    </row>
    <row r="45" spans="1:22" x14ac:dyDescent="0.25">
      <c r="A45" t="s">
        <v>69</v>
      </c>
      <c r="B45" t="s">
        <v>119</v>
      </c>
      <c r="C45" t="s">
        <v>121</v>
      </c>
      <c r="D45" t="s">
        <v>130</v>
      </c>
      <c r="E45">
        <v>0</v>
      </c>
      <c r="F45">
        <v>1</v>
      </c>
      <c r="G45">
        <f t="shared" si="22"/>
        <v>1.735689821931518</v>
      </c>
      <c r="H45">
        <f t="shared" si="23"/>
        <v>2.6912164087038697</v>
      </c>
      <c r="I45">
        <f>H45+0.699433106575963</f>
        <v>3.3906495152798328</v>
      </c>
      <c r="J45">
        <f t="shared" si="20"/>
        <v>3.937850300201271</v>
      </c>
      <c r="K45" s="2">
        <f t="shared" si="6"/>
        <v>0</v>
      </c>
      <c r="L45">
        <f t="shared" si="7"/>
        <v>1000</v>
      </c>
      <c r="M45">
        <f t="shared" si="8"/>
        <v>1735.6898219315181</v>
      </c>
      <c r="N45">
        <f t="shared" si="9"/>
        <v>2691.2164087038695</v>
      </c>
      <c r="O45">
        <f t="shared" si="10"/>
        <v>3390.6495152798329</v>
      </c>
      <c r="P45">
        <f t="shared" si="11"/>
        <v>3937.8503002012712</v>
      </c>
      <c r="Q45" s="2">
        <f t="shared" si="12"/>
        <v>200</v>
      </c>
      <c r="R45">
        <f t="shared" si="13"/>
        <v>1200</v>
      </c>
      <c r="S45">
        <f t="shared" si="14"/>
        <v>1935.6898219315181</v>
      </c>
      <c r="T45">
        <f t="shared" si="15"/>
        <v>2891.2164087038695</v>
      </c>
      <c r="U45">
        <f t="shared" si="16"/>
        <v>3590.6495152798329</v>
      </c>
      <c r="V45">
        <f t="shared" si="17"/>
        <v>4137.8503002012712</v>
      </c>
    </row>
    <row r="46" spans="1:22" x14ac:dyDescent="0.25">
      <c r="A46" t="s">
        <v>90</v>
      </c>
      <c r="B46" t="s">
        <v>119</v>
      </c>
      <c r="C46" t="s">
        <v>121</v>
      </c>
      <c r="D46" t="s">
        <v>124</v>
      </c>
      <c r="E46">
        <v>0</v>
      </c>
      <c r="F46">
        <v>1</v>
      </c>
      <c r="G46">
        <f t="shared" si="22"/>
        <v>1.735689821931518</v>
      </c>
      <c r="H46">
        <f t="shared" si="23"/>
        <v>2.6912164087038697</v>
      </c>
      <c r="I46">
        <f>H46+0.699433106575963</f>
        <v>3.3906495152798328</v>
      </c>
      <c r="J46">
        <f t="shared" si="20"/>
        <v>3.937850300201271</v>
      </c>
      <c r="K46" s="2">
        <f t="shared" si="6"/>
        <v>0</v>
      </c>
      <c r="L46">
        <f t="shared" si="7"/>
        <v>1000</v>
      </c>
      <c r="M46">
        <f t="shared" si="8"/>
        <v>1735.6898219315181</v>
      </c>
      <c r="N46">
        <f t="shared" si="9"/>
        <v>2691.2164087038695</v>
      </c>
      <c r="O46">
        <f t="shared" si="10"/>
        <v>3390.6495152798329</v>
      </c>
      <c r="P46">
        <f t="shared" si="11"/>
        <v>3937.8503002012712</v>
      </c>
      <c r="Q46" s="2">
        <f t="shared" si="12"/>
        <v>200</v>
      </c>
      <c r="R46">
        <f t="shared" si="13"/>
        <v>1200</v>
      </c>
      <c r="S46">
        <f t="shared" si="14"/>
        <v>1935.6898219315181</v>
      </c>
      <c r="T46">
        <f t="shared" si="15"/>
        <v>2891.2164087038695</v>
      </c>
      <c r="U46">
        <f t="shared" si="16"/>
        <v>3590.6495152798329</v>
      </c>
      <c r="V46">
        <f t="shared" si="17"/>
        <v>4137.8503002012712</v>
      </c>
    </row>
    <row r="47" spans="1:22" x14ac:dyDescent="0.25">
      <c r="A47" t="s">
        <v>104</v>
      </c>
      <c r="B47" t="s">
        <v>119</v>
      </c>
      <c r="C47" t="s">
        <v>121</v>
      </c>
      <c r="D47" t="s">
        <v>122</v>
      </c>
      <c r="E47">
        <v>0</v>
      </c>
      <c r="F47">
        <v>1</v>
      </c>
      <c r="G47">
        <f t="shared" si="22"/>
        <v>1.735689821931518</v>
      </c>
      <c r="H47">
        <f t="shared" si="23"/>
        <v>2.6912164087038697</v>
      </c>
      <c r="I47">
        <f>H47+0.699433106575963</f>
        <v>3.3906495152798328</v>
      </c>
      <c r="J47">
        <f t="shared" si="20"/>
        <v>3.937850300201271</v>
      </c>
      <c r="K47" s="2">
        <f t="shared" si="6"/>
        <v>0</v>
      </c>
      <c r="L47">
        <f t="shared" si="7"/>
        <v>1000</v>
      </c>
      <c r="M47">
        <f t="shared" si="8"/>
        <v>1735.6898219315181</v>
      </c>
      <c r="N47">
        <f t="shared" si="9"/>
        <v>2691.2164087038695</v>
      </c>
      <c r="O47">
        <f t="shared" si="10"/>
        <v>3390.6495152798329</v>
      </c>
      <c r="P47">
        <f t="shared" si="11"/>
        <v>3937.8503002012712</v>
      </c>
      <c r="Q47" s="2">
        <f t="shared" si="12"/>
        <v>200</v>
      </c>
      <c r="R47">
        <f t="shared" si="13"/>
        <v>1200</v>
      </c>
      <c r="S47">
        <f t="shared" si="14"/>
        <v>1935.6898219315181</v>
      </c>
      <c r="T47">
        <f t="shared" si="15"/>
        <v>2891.2164087038695</v>
      </c>
      <c r="U47">
        <f t="shared" si="16"/>
        <v>3590.6495152798329</v>
      </c>
      <c r="V47">
        <f t="shared" si="17"/>
        <v>4137.8503002012712</v>
      </c>
    </row>
    <row r="48" spans="1:22" x14ac:dyDescent="0.25">
      <c r="A48" t="s">
        <v>110</v>
      </c>
      <c r="B48" t="s">
        <v>119</v>
      </c>
      <c r="C48" t="s">
        <v>121</v>
      </c>
      <c r="D48" t="s">
        <v>124</v>
      </c>
      <c r="E48">
        <v>0</v>
      </c>
      <c r="F48">
        <v>1</v>
      </c>
      <c r="G48">
        <f t="shared" si="22"/>
        <v>1.735689821931518</v>
      </c>
      <c r="H48">
        <f t="shared" si="23"/>
        <v>2.6912164087038697</v>
      </c>
      <c r="I48">
        <f>H48+0.699433106575963</f>
        <v>3.3906495152798328</v>
      </c>
      <c r="J48">
        <f t="shared" si="20"/>
        <v>3.937850300201271</v>
      </c>
      <c r="K48" s="2">
        <f t="shared" si="6"/>
        <v>0</v>
      </c>
      <c r="L48">
        <f t="shared" si="7"/>
        <v>1000</v>
      </c>
      <c r="M48">
        <f t="shared" si="8"/>
        <v>1735.6898219315181</v>
      </c>
      <c r="N48">
        <f t="shared" si="9"/>
        <v>2691.2164087038695</v>
      </c>
      <c r="O48">
        <f t="shared" si="10"/>
        <v>3390.6495152798329</v>
      </c>
      <c r="P48">
        <f t="shared" si="11"/>
        <v>3937.8503002012712</v>
      </c>
      <c r="Q48" s="2">
        <f t="shared" si="12"/>
        <v>200</v>
      </c>
      <c r="R48">
        <f t="shared" si="13"/>
        <v>1200</v>
      </c>
      <c r="S48">
        <f t="shared" si="14"/>
        <v>1935.6898219315181</v>
      </c>
      <c r="T48">
        <f t="shared" si="15"/>
        <v>2891.2164087038695</v>
      </c>
      <c r="U48">
        <f t="shared" si="16"/>
        <v>3590.6495152798329</v>
      </c>
      <c r="V48">
        <f t="shared" si="17"/>
        <v>4137.8503002012712</v>
      </c>
    </row>
    <row r="49" spans="1:22" x14ac:dyDescent="0.25">
      <c r="A49" t="s">
        <v>44</v>
      </c>
      <c r="B49" t="s">
        <v>117</v>
      </c>
      <c r="C49" t="s">
        <v>114</v>
      </c>
      <c r="D49" t="s">
        <v>115</v>
      </c>
      <c r="E49">
        <v>0</v>
      </c>
      <c r="F49">
        <v>1</v>
      </c>
      <c r="G49">
        <f t="shared" si="22"/>
        <v>1.735689821931518</v>
      </c>
      <c r="H49">
        <f t="shared" si="23"/>
        <v>2.6912164087038697</v>
      </c>
      <c r="I49">
        <f t="shared" ref="I49:I55" si="24">H49+0.709461112750152</f>
        <v>3.4006775214540217</v>
      </c>
      <c r="J49">
        <f>I49+0.551707791863765</f>
        <v>3.9523853133177864</v>
      </c>
      <c r="K49" s="2">
        <f t="shared" si="6"/>
        <v>0</v>
      </c>
      <c r="L49">
        <f t="shared" si="7"/>
        <v>1000</v>
      </c>
      <c r="M49">
        <f t="shared" si="8"/>
        <v>1735.6898219315181</v>
      </c>
      <c r="N49">
        <f t="shared" si="9"/>
        <v>2691.2164087038695</v>
      </c>
      <c r="O49">
        <f t="shared" si="10"/>
        <v>3400.6775214540216</v>
      </c>
      <c r="P49">
        <f t="shared" si="11"/>
        <v>3952.3853133177863</v>
      </c>
      <c r="Q49" s="2">
        <f t="shared" si="12"/>
        <v>200</v>
      </c>
      <c r="R49">
        <f t="shared" si="13"/>
        <v>1200</v>
      </c>
      <c r="S49">
        <f t="shared" si="14"/>
        <v>1935.6898219315181</v>
      </c>
      <c r="T49">
        <f t="shared" si="15"/>
        <v>2891.2164087038695</v>
      </c>
      <c r="U49">
        <f t="shared" si="16"/>
        <v>3600.6775214540216</v>
      </c>
      <c r="V49">
        <f t="shared" si="17"/>
        <v>4152.3853133177863</v>
      </c>
    </row>
    <row r="50" spans="1:22" x14ac:dyDescent="0.25">
      <c r="A50" t="s">
        <v>45</v>
      </c>
      <c r="B50" t="s">
        <v>117</v>
      </c>
      <c r="C50" t="s">
        <v>114</v>
      </c>
      <c r="D50" t="s">
        <v>118</v>
      </c>
      <c r="E50">
        <v>0</v>
      </c>
      <c r="F50">
        <v>1</v>
      </c>
      <c r="G50">
        <f t="shared" si="22"/>
        <v>1.735689821931518</v>
      </c>
      <c r="H50">
        <f t="shared" si="23"/>
        <v>2.6912164087038697</v>
      </c>
      <c r="I50">
        <f t="shared" si="24"/>
        <v>3.4006775214540217</v>
      </c>
      <c r="J50">
        <f t="shared" ref="J50:J72" si="25">I50+0.551707791863765</f>
        <v>3.9523853133177864</v>
      </c>
      <c r="K50" s="2">
        <f t="shared" si="6"/>
        <v>0</v>
      </c>
      <c r="L50">
        <f t="shared" si="7"/>
        <v>1000</v>
      </c>
      <c r="M50">
        <f t="shared" si="8"/>
        <v>1735.6898219315181</v>
      </c>
      <c r="N50">
        <f t="shared" si="9"/>
        <v>2691.2164087038695</v>
      </c>
      <c r="O50">
        <f t="shared" si="10"/>
        <v>3400.6775214540216</v>
      </c>
      <c r="P50">
        <f t="shared" si="11"/>
        <v>3952.3853133177863</v>
      </c>
      <c r="Q50" s="2">
        <f t="shared" si="12"/>
        <v>200</v>
      </c>
      <c r="R50">
        <f t="shared" si="13"/>
        <v>1200</v>
      </c>
      <c r="S50">
        <f t="shared" si="14"/>
        <v>1935.6898219315181</v>
      </c>
      <c r="T50">
        <f t="shared" si="15"/>
        <v>2891.2164087038695</v>
      </c>
      <c r="U50">
        <f t="shared" si="16"/>
        <v>3600.6775214540216</v>
      </c>
      <c r="V50">
        <f t="shared" si="17"/>
        <v>4152.3853133177863</v>
      </c>
    </row>
    <row r="51" spans="1:22" x14ac:dyDescent="0.25">
      <c r="A51" t="s">
        <v>62</v>
      </c>
      <c r="B51" t="s">
        <v>117</v>
      </c>
      <c r="C51" t="s">
        <v>114</v>
      </c>
      <c r="D51" t="s">
        <v>116</v>
      </c>
      <c r="E51">
        <v>0</v>
      </c>
      <c r="F51">
        <v>1</v>
      </c>
      <c r="G51">
        <f t="shared" si="22"/>
        <v>1.735689821931518</v>
      </c>
      <c r="H51">
        <f t="shared" si="23"/>
        <v>2.6912164087038697</v>
      </c>
      <c r="I51">
        <f t="shared" si="24"/>
        <v>3.4006775214540217</v>
      </c>
      <c r="J51">
        <f t="shared" si="25"/>
        <v>3.9523853133177864</v>
      </c>
      <c r="K51" s="2">
        <f t="shared" si="6"/>
        <v>0</v>
      </c>
      <c r="L51">
        <f t="shared" si="7"/>
        <v>1000</v>
      </c>
      <c r="M51">
        <f t="shared" si="8"/>
        <v>1735.6898219315181</v>
      </c>
      <c r="N51">
        <f t="shared" si="9"/>
        <v>2691.2164087038695</v>
      </c>
      <c r="O51">
        <f t="shared" si="10"/>
        <v>3400.6775214540216</v>
      </c>
      <c r="P51">
        <f t="shared" si="11"/>
        <v>3952.3853133177863</v>
      </c>
      <c r="Q51" s="2">
        <f t="shared" si="12"/>
        <v>200</v>
      </c>
      <c r="R51">
        <f t="shared" si="13"/>
        <v>1200</v>
      </c>
      <c r="S51">
        <f t="shared" si="14"/>
        <v>1935.6898219315181</v>
      </c>
      <c r="T51">
        <f t="shared" si="15"/>
        <v>2891.2164087038695</v>
      </c>
      <c r="U51">
        <f t="shared" si="16"/>
        <v>3600.6775214540216</v>
      </c>
      <c r="V51">
        <f t="shared" si="17"/>
        <v>4152.3853133177863</v>
      </c>
    </row>
    <row r="52" spans="1:22" x14ac:dyDescent="0.25">
      <c r="A52" t="s">
        <v>63</v>
      </c>
      <c r="B52" t="s">
        <v>117</v>
      </c>
      <c r="C52" t="s">
        <v>114</v>
      </c>
      <c r="D52" t="s">
        <v>129</v>
      </c>
      <c r="E52">
        <v>0</v>
      </c>
      <c r="F52">
        <v>1</v>
      </c>
      <c r="G52">
        <f t="shared" si="22"/>
        <v>1.735689821931518</v>
      </c>
      <c r="H52">
        <f t="shared" si="23"/>
        <v>2.6912164087038697</v>
      </c>
      <c r="I52">
        <f t="shared" si="24"/>
        <v>3.4006775214540217</v>
      </c>
      <c r="J52">
        <f t="shared" si="25"/>
        <v>3.9523853133177864</v>
      </c>
      <c r="K52" s="2">
        <f t="shared" si="6"/>
        <v>0</v>
      </c>
      <c r="L52">
        <f t="shared" si="7"/>
        <v>1000</v>
      </c>
      <c r="M52">
        <f t="shared" si="8"/>
        <v>1735.6898219315181</v>
      </c>
      <c r="N52">
        <f t="shared" si="9"/>
        <v>2691.2164087038695</v>
      </c>
      <c r="O52">
        <f t="shared" si="10"/>
        <v>3400.6775214540216</v>
      </c>
      <c r="P52">
        <f t="shared" si="11"/>
        <v>3952.3853133177863</v>
      </c>
      <c r="Q52" s="2">
        <f t="shared" si="12"/>
        <v>200</v>
      </c>
      <c r="R52">
        <f t="shared" si="13"/>
        <v>1200</v>
      </c>
      <c r="S52">
        <f t="shared" si="14"/>
        <v>1935.6898219315181</v>
      </c>
      <c r="T52">
        <f t="shared" si="15"/>
        <v>2891.2164087038695</v>
      </c>
      <c r="U52">
        <f t="shared" si="16"/>
        <v>3600.6775214540216</v>
      </c>
      <c r="V52">
        <f t="shared" si="17"/>
        <v>4152.3853133177863</v>
      </c>
    </row>
    <row r="53" spans="1:22" x14ac:dyDescent="0.25">
      <c r="A53" t="s">
        <v>78</v>
      </c>
      <c r="B53" t="s">
        <v>117</v>
      </c>
      <c r="C53" t="s">
        <v>114</v>
      </c>
      <c r="D53" t="s">
        <v>118</v>
      </c>
      <c r="E53">
        <v>0</v>
      </c>
      <c r="F53">
        <v>1</v>
      </c>
      <c r="G53">
        <f t="shared" si="22"/>
        <v>1.735689821931518</v>
      </c>
      <c r="H53">
        <f t="shared" si="23"/>
        <v>2.6912164087038697</v>
      </c>
      <c r="I53">
        <f t="shared" si="24"/>
        <v>3.4006775214540217</v>
      </c>
      <c r="J53">
        <f t="shared" si="25"/>
        <v>3.9523853133177864</v>
      </c>
      <c r="K53" s="2">
        <f t="shared" si="6"/>
        <v>0</v>
      </c>
      <c r="L53">
        <f t="shared" si="7"/>
        <v>1000</v>
      </c>
      <c r="M53">
        <f t="shared" si="8"/>
        <v>1735.6898219315181</v>
      </c>
      <c r="N53">
        <f t="shared" si="9"/>
        <v>2691.2164087038695</v>
      </c>
      <c r="O53">
        <f t="shared" si="10"/>
        <v>3400.6775214540216</v>
      </c>
      <c r="P53">
        <f t="shared" si="11"/>
        <v>3952.3853133177863</v>
      </c>
      <c r="Q53" s="2">
        <f t="shared" si="12"/>
        <v>200</v>
      </c>
      <c r="R53">
        <f t="shared" si="13"/>
        <v>1200</v>
      </c>
      <c r="S53">
        <f t="shared" si="14"/>
        <v>1935.6898219315181</v>
      </c>
      <c r="T53">
        <f t="shared" si="15"/>
        <v>2891.2164087038695</v>
      </c>
      <c r="U53">
        <f t="shared" si="16"/>
        <v>3600.6775214540216</v>
      </c>
      <c r="V53">
        <f t="shared" si="17"/>
        <v>4152.3853133177863</v>
      </c>
    </row>
    <row r="54" spans="1:22" x14ac:dyDescent="0.25">
      <c r="A54" t="s">
        <v>85</v>
      </c>
      <c r="B54" t="s">
        <v>117</v>
      </c>
      <c r="C54" t="s">
        <v>114</v>
      </c>
      <c r="D54" t="s">
        <v>115</v>
      </c>
      <c r="E54">
        <v>0</v>
      </c>
      <c r="F54">
        <v>1</v>
      </c>
      <c r="G54">
        <f t="shared" si="22"/>
        <v>1.735689821931518</v>
      </c>
      <c r="H54">
        <f t="shared" si="23"/>
        <v>2.6912164087038697</v>
      </c>
      <c r="I54">
        <f t="shared" si="24"/>
        <v>3.4006775214540217</v>
      </c>
      <c r="J54">
        <f t="shared" si="25"/>
        <v>3.9523853133177864</v>
      </c>
      <c r="K54" s="2">
        <f t="shared" si="6"/>
        <v>0</v>
      </c>
      <c r="L54">
        <f t="shared" si="7"/>
        <v>1000</v>
      </c>
      <c r="M54">
        <f t="shared" si="8"/>
        <v>1735.6898219315181</v>
      </c>
      <c r="N54">
        <f t="shared" si="9"/>
        <v>2691.2164087038695</v>
      </c>
      <c r="O54">
        <f t="shared" si="10"/>
        <v>3400.6775214540216</v>
      </c>
      <c r="P54">
        <f t="shared" si="11"/>
        <v>3952.3853133177863</v>
      </c>
      <c r="Q54" s="2">
        <f t="shared" si="12"/>
        <v>200</v>
      </c>
      <c r="R54">
        <f t="shared" si="13"/>
        <v>1200</v>
      </c>
      <c r="S54">
        <f t="shared" si="14"/>
        <v>1935.6898219315181</v>
      </c>
      <c r="T54">
        <f t="shared" si="15"/>
        <v>2891.2164087038695</v>
      </c>
      <c r="U54">
        <f t="shared" si="16"/>
        <v>3600.6775214540216</v>
      </c>
      <c r="V54">
        <f t="shared" si="17"/>
        <v>4152.3853133177863</v>
      </c>
    </row>
    <row r="55" spans="1:22" x14ac:dyDescent="0.25">
      <c r="A55" t="s">
        <v>86</v>
      </c>
      <c r="B55" t="s">
        <v>117</v>
      </c>
      <c r="C55" t="s">
        <v>114</v>
      </c>
      <c r="D55" t="s">
        <v>116</v>
      </c>
      <c r="E55">
        <v>0</v>
      </c>
      <c r="F55">
        <v>1</v>
      </c>
      <c r="G55">
        <f t="shared" si="22"/>
        <v>1.735689821931518</v>
      </c>
      <c r="H55">
        <f t="shared" si="23"/>
        <v>2.6912164087038697</v>
      </c>
      <c r="I55">
        <f t="shared" si="24"/>
        <v>3.4006775214540217</v>
      </c>
      <c r="J55">
        <f t="shared" si="25"/>
        <v>3.9523853133177864</v>
      </c>
      <c r="K55" s="2">
        <f t="shared" si="6"/>
        <v>0</v>
      </c>
      <c r="L55">
        <f t="shared" si="7"/>
        <v>1000</v>
      </c>
      <c r="M55">
        <f t="shared" si="8"/>
        <v>1735.6898219315181</v>
      </c>
      <c r="N55">
        <f t="shared" si="9"/>
        <v>2691.2164087038695</v>
      </c>
      <c r="O55">
        <f t="shared" si="10"/>
        <v>3400.6775214540216</v>
      </c>
      <c r="P55">
        <f t="shared" si="11"/>
        <v>3952.3853133177863</v>
      </c>
      <c r="Q55" s="2">
        <f t="shared" si="12"/>
        <v>200</v>
      </c>
      <c r="R55">
        <f t="shared" si="13"/>
        <v>1200</v>
      </c>
      <c r="S55">
        <f t="shared" si="14"/>
        <v>1935.6898219315181</v>
      </c>
      <c r="T55">
        <f t="shared" si="15"/>
        <v>2891.2164087038695</v>
      </c>
      <c r="U55">
        <f t="shared" si="16"/>
        <v>3600.6775214540216</v>
      </c>
      <c r="V55">
        <f t="shared" si="17"/>
        <v>4152.3853133177863</v>
      </c>
    </row>
    <row r="56" spans="1:22" x14ac:dyDescent="0.25">
      <c r="A56" t="s">
        <v>42</v>
      </c>
      <c r="B56" t="s">
        <v>113</v>
      </c>
      <c r="C56" t="s">
        <v>114</v>
      </c>
      <c r="D56" t="s">
        <v>115</v>
      </c>
      <c r="E56">
        <v>0</v>
      </c>
      <c r="F56">
        <v>1</v>
      </c>
      <c r="G56">
        <f t="shared" si="22"/>
        <v>1.735689821931518</v>
      </c>
      <c r="H56">
        <f t="shared" si="23"/>
        <v>2.6912164087038697</v>
      </c>
      <c r="I56">
        <f t="shared" ref="I56:I62" si="26">H56+0.711451247165532</f>
        <v>3.4026676558694016</v>
      </c>
      <c r="J56">
        <f t="shared" si="25"/>
        <v>3.9543754477331667</v>
      </c>
      <c r="K56" s="2">
        <f t="shared" si="6"/>
        <v>0</v>
      </c>
      <c r="L56">
        <f t="shared" si="7"/>
        <v>1000</v>
      </c>
      <c r="M56">
        <f t="shared" si="8"/>
        <v>1735.6898219315181</v>
      </c>
      <c r="N56">
        <f t="shared" si="9"/>
        <v>2691.2164087038695</v>
      </c>
      <c r="O56">
        <f t="shared" si="10"/>
        <v>3402.6676558694016</v>
      </c>
      <c r="P56">
        <f t="shared" si="11"/>
        <v>3954.3754477331668</v>
      </c>
      <c r="Q56" s="2">
        <f t="shared" si="12"/>
        <v>200</v>
      </c>
      <c r="R56">
        <f t="shared" si="13"/>
        <v>1200</v>
      </c>
      <c r="S56">
        <f t="shared" si="14"/>
        <v>1935.6898219315181</v>
      </c>
      <c r="T56">
        <f t="shared" si="15"/>
        <v>2891.2164087038695</v>
      </c>
      <c r="U56">
        <f t="shared" si="16"/>
        <v>3602.6676558694016</v>
      </c>
      <c r="V56">
        <f t="shared" si="17"/>
        <v>4154.3754477331668</v>
      </c>
    </row>
    <row r="57" spans="1:22" x14ac:dyDescent="0.25">
      <c r="A57" t="s">
        <v>43</v>
      </c>
      <c r="B57" t="s">
        <v>113</v>
      </c>
      <c r="C57" t="s">
        <v>114</v>
      </c>
      <c r="D57" t="s">
        <v>116</v>
      </c>
      <c r="E57">
        <v>0</v>
      </c>
      <c r="F57">
        <v>1</v>
      </c>
      <c r="G57">
        <f t="shared" si="22"/>
        <v>1.735689821931518</v>
      </c>
      <c r="H57">
        <f t="shared" si="23"/>
        <v>2.6912164087038697</v>
      </c>
      <c r="I57">
        <f t="shared" si="26"/>
        <v>3.4026676558694016</v>
      </c>
      <c r="J57">
        <f t="shared" si="25"/>
        <v>3.9543754477331667</v>
      </c>
      <c r="K57" s="2">
        <f t="shared" si="6"/>
        <v>0</v>
      </c>
      <c r="L57">
        <f t="shared" si="7"/>
        <v>1000</v>
      </c>
      <c r="M57">
        <f t="shared" si="8"/>
        <v>1735.6898219315181</v>
      </c>
      <c r="N57">
        <f t="shared" si="9"/>
        <v>2691.2164087038695</v>
      </c>
      <c r="O57">
        <f t="shared" si="10"/>
        <v>3402.6676558694016</v>
      </c>
      <c r="P57">
        <f t="shared" si="11"/>
        <v>3954.3754477331668</v>
      </c>
      <c r="Q57" s="2">
        <f t="shared" si="12"/>
        <v>200</v>
      </c>
      <c r="R57">
        <f t="shared" si="13"/>
        <v>1200</v>
      </c>
      <c r="S57">
        <f t="shared" si="14"/>
        <v>1935.6898219315181</v>
      </c>
      <c r="T57">
        <f t="shared" si="15"/>
        <v>2891.2164087038695</v>
      </c>
      <c r="U57">
        <f t="shared" si="16"/>
        <v>3602.6676558694016</v>
      </c>
      <c r="V57">
        <f t="shared" si="17"/>
        <v>4154.3754477331668</v>
      </c>
    </row>
    <row r="58" spans="1:22" x14ac:dyDescent="0.25">
      <c r="A58" t="s">
        <v>60</v>
      </c>
      <c r="B58" t="s">
        <v>113</v>
      </c>
      <c r="C58" t="s">
        <v>114</v>
      </c>
      <c r="D58" t="s">
        <v>118</v>
      </c>
      <c r="E58">
        <v>0</v>
      </c>
      <c r="F58">
        <v>1</v>
      </c>
      <c r="G58">
        <f t="shared" si="22"/>
        <v>1.735689821931518</v>
      </c>
      <c r="H58">
        <f t="shared" si="23"/>
        <v>2.6912164087038697</v>
      </c>
      <c r="I58">
        <f t="shared" si="26"/>
        <v>3.4026676558694016</v>
      </c>
      <c r="J58">
        <f t="shared" si="25"/>
        <v>3.9543754477331667</v>
      </c>
      <c r="K58" s="2">
        <f t="shared" si="6"/>
        <v>0</v>
      </c>
      <c r="L58">
        <f t="shared" si="7"/>
        <v>1000</v>
      </c>
      <c r="M58">
        <f t="shared" si="8"/>
        <v>1735.6898219315181</v>
      </c>
      <c r="N58">
        <f t="shared" si="9"/>
        <v>2691.2164087038695</v>
      </c>
      <c r="O58">
        <f t="shared" si="10"/>
        <v>3402.6676558694016</v>
      </c>
      <c r="P58">
        <f t="shared" si="11"/>
        <v>3954.3754477331668</v>
      </c>
      <c r="Q58" s="2">
        <f t="shared" si="12"/>
        <v>200</v>
      </c>
      <c r="R58">
        <f t="shared" si="13"/>
        <v>1200</v>
      </c>
      <c r="S58">
        <f t="shared" si="14"/>
        <v>1935.6898219315181</v>
      </c>
      <c r="T58">
        <f t="shared" si="15"/>
        <v>2891.2164087038695</v>
      </c>
      <c r="U58">
        <f t="shared" si="16"/>
        <v>3602.6676558694016</v>
      </c>
      <c r="V58">
        <f t="shared" si="17"/>
        <v>4154.3754477331668</v>
      </c>
    </row>
    <row r="59" spans="1:22" x14ac:dyDescent="0.25">
      <c r="A59" t="s">
        <v>61</v>
      </c>
      <c r="B59" t="s">
        <v>113</v>
      </c>
      <c r="C59" t="s">
        <v>114</v>
      </c>
      <c r="D59" t="s">
        <v>129</v>
      </c>
      <c r="E59">
        <v>0</v>
      </c>
      <c r="F59">
        <v>1</v>
      </c>
      <c r="G59">
        <f t="shared" si="22"/>
        <v>1.735689821931518</v>
      </c>
      <c r="H59">
        <f t="shared" si="23"/>
        <v>2.6912164087038697</v>
      </c>
      <c r="I59">
        <f t="shared" si="26"/>
        <v>3.4026676558694016</v>
      </c>
      <c r="J59">
        <f t="shared" si="25"/>
        <v>3.9543754477331667</v>
      </c>
      <c r="K59" s="2">
        <f t="shared" si="6"/>
        <v>0</v>
      </c>
      <c r="L59">
        <f t="shared" si="7"/>
        <v>1000</v>
      </c>
      <c r="M59">
        <f t="shared" si="8"/>
        <v>1735.6898219315181</v>
      </c>
      <c r="N59">
        <f t="shared" si="9"/>
        <v>2691.2164087038695</v>
      </c>
      <c r="O59">
        <f t="shared" si="10"/>
        <v>3402.6676558694016</v>
      </c>
      <c r="P59">
        <f t="shared" si="11"/>
        <v>3954.3754477331668</v>
      </c>
      <c r="Q59" s="2">
        <f t="shared" si="12"/>
        <v>200</v>
      </c>
      <c r="R59">
        <f t="shared" si="13"/>
        <v>1200</v>
      </c>
      <c r="S59">
        <f t="shared" si="14"/>
        <v>1935.6898219315181</v>
      </c>
      <c r="T59">
        <f t="shared" si="15"/>
        <v>2891.2164087038695</v>
      </c>
      <c r="U59">
        <f t="shared" si="16"/>
        <v>3602.6676558694016</v>
      </c>
      <c r="V59">
        <f t="shared" si="17"/>
        <v>4154.3754477331668</v>
      </c>
    </row>
    <row r="60" spans="1:22" x14ac:dyDescent="0.25">
      <c r="A60" t="s">
        <v>89</v>
      </c>
      <c r="B60" t="s">
        <v>113</v>
      </c>
      <c r="C60" t="s">
        <v>114</v>
      </c>
      <c r="D60" t="s">
        <v>116</v>
      </c>
      <c r="E60">
        <v>0</v>
      </c>
      <c r="F60">
        <v>1</v>
      </c>
      <c r="G60">
        <f t="shared" si="22"/>
        <v>1.735689821931518</v>
      </c>
      <c r="H60">
        <f t="shared" si="23"/>
        <v>2.6912164087038697</v>
      </c>
      <c r="I60">
        <f t="shared" si="26"/>
        <v>3.4026676558694016</v>
      </c>
      <c r="J60">
        <f t="shared" si="25"/>
        <v>3.9543754477331667</v>
      </c>
      <c r="K60" s="2">
        <f t="shared" si="6"/>
        <v>0</v>
      </c>
      <c r="L60">
        <f t="shared" si="7"/>
        <v>1000</v>
      </c>
      <c r="M60">
        <f t="shared" si="8"/>
        <v>1735.6898219315181</v>
      </c>
      <c r="N60">
        <f t="shared" si="9"/>
        <v>2691.2164087038695</v>
      </c>
      <c r="O60">
        <f t="shared" si="10"/>
        <v>3402.6676558694016</v>
      </c>
      <c r="P60">
        <f t="shared" si="11"/>
        <v>3954.3754477331668</v>
      </c>
      <c r="Q60" s="2">
        <f t="shared" si="12"/>
        <v>200</v>
      </c>
      <c r="R60">
        <f t="shared" si="13"/>
        <v>1200</v>
      </c>
      <c r="S60">
        <f t="shared" si="14"/>
        <v>1935.6898219315181</v>
      </c>
      <c r="T60">
        <f t="shared" si="15"/>
        <v>2891.2164087038695</v>
      </c>
      <c r="U60">
        <f t="shared" si="16"/>
        <v>3602.6676558694016</v>
      </c>
      <c r="V60">
        <f t="shared" si="17"/>
        <v>4154.3754477331668</v>
      </c>
    </row>
    <row r="61" spans="1:22" x14ac:dyDescent="0.25">
      <c r="A61" t="s">
        <v>101</v>
      </c>
      <c r="B61" t="s">
        <v>113</v>
      </c>
      <c r="C61" t="s">
        <v>114</v>
      </c>
      <c r="D61" t="s">
        <v>129</v>
      </c>
      <c r="E61">
        <v>0</v>
      </c>
      <c r="F61">
        <v>1</v>
      </c>
      <c r="G61">
        <f t="shared" si="22"/>
        <v>1.735689821931518</v>
      </c>
      <c r="H61">
        <f t="shared" si="23"/>
        <v>2.6912164087038697</v>
      </c>
      <c r="I61">
        <f t="shared" si="26"/>
        <v>3.4026676558694016</v>
      </c>
      <c r="J61">
        <f t="shared" si="25"/>
        <v>3.9543754477331667</v>
      </c>
      <c r="K61" s="2">
        <f t="shared" si="6"/>
        <v>0</v>
      </c>
      <c r="L61">
        <f t="shared" si="7"/>
        <v>1000</v>
      </c>
      <c r="M61">
        <f t="shared" si="8"/>
        <v>1735.6898219315181</v>
      </c>
      <c r="N61">
        <f t="shared" si="9"/>
        <v>2691.2164087038695</v>
      </c>
      <c r="O61">
        <f t="shared" si="10"/>
        <v>3402.6676558694016</v>
      </c>
      <c r="P61">
        <f t="shared" si="11"/>
        <v>3954.3754477331668</v>
      </c>
      <c r="Q61" s="2">
        <f t="shared" si="12"/>
        <v>200</v>
      </c>
      <c r="R61">
        <f t="shared" si="13"/>
        <v>1200</v>
      </c>
      <c r="S61">
        <f t="shared" si="14"/>
        <v>1935.6898219315181</v>
      </c>
      <c r="T61">
        <f t="shared" si="15"/>
        <v>2891.2164087038695</v>
      </c>
      <c r="U61">
        <f t="shared" si="16"/>
        <v>3602.6676558694016</v>
      </c>
      <c r="V61">
        <f t="shared" si="17"/>
        <v>4154.3754477331668</v>
      </c>
    </row>
    <row r="62" spans="1:22" x14ac:dyDescent="0.25">
      <c r="A62" t="s">
        <v>108</v>
      </c>
      <c r="B62" t="s">
        <v>113</v>
      </c>
      <c r="C62" t="s">
        <v>114</v>
      </c>
      <c r="D62" t="s">
        <v>118</v>
      </c>
      <c r="E62">
        <v>0</v>
      </c>
      <c r="F62">
        <v>1</v>
      </c>
      <c r="G62">
        <f t="shared" si="22"/>
        <v>1.735689821931518</v>
      </c>
      <c r="H62">
        <f t="shared" si="23"/>
        <v>2.6912164087038697</v>
      </c>
      <c r="I62">
        <f t="shared" si="26"/>
        <v>3.4026676558694016</v>
      </c>
      <c r="J62">
        <f t="shared" si="25"/>
        <v>3.9543754477331667</v>
      </c>
      <c r="K62" s="2">
        <f t="shared" si="6"/>
        <v>0</v>
      </c>
      <c r="L62">
        <f t="shared" si="7"/>
        <v>1000</v>
      </c>
      <c r="M62">
        <f t="shared" si="8"/>
        <v>1735.6898219315181</v>
      </c>
      <c r="N62">
        <f t="shared" si="9"/>
        <v>2691.2164087038695</v>
      </c>
      <c r="O62">
        <f t="shared" si="10"/>
        <v>3402.6676558694016</v>
      </c>
      <c r="P62">
        <f t="shared" si="11"/>
        <v>3954.3754477331668</v>
      </c>
      <c r="Q62" s="2">
        <f t="shared" si="12"/>
        <v>200</v>
      </c>
      <c r="R62">
        <f t="shared" si="13"/>
        <v>1200</v>
      </c>
      <c r="S62">
        <f t="shared" si="14"/>
        <v>1935.6898219315181</v>
      </c>
      <c r="T62">
        <f t="shared" si="15"/>
        <v>2891.2164087038695</v>
      </c>
      <c r="U62">
        <f t="shared" si="16"/>
        <v>3602.6676558694016</v>
      </c>
      <c r="V62">
        <f t="shared" si="17"/>
        <v>4154.3754477331668</v>
      </c>
    </row>
    <row r="63" spans="1:22" x14ac:dyDescent="0.25">
      <c r="A63" t="s">
        <v>47</v>
      </c>
      <c r="B63" t="s">
        <v>120</v>
      </c>
      <c r="C63" t="s">
        <v>114</v>
      </c>
      <c r="D63" t="s">
        <v>115</v>
      </c>
      <c r="E63">
        <v>0</v>
      </c>
      <c r="F63">
        <v>1</v>
      </c>
      <c r="G63">
        <f t="shared" si="22"/>
        <v>1.735689821931518</v>
      </c>
      <c r="H63">
        <f t="shared" si="23"/>
        <v>2.6912164087038697</v>
      </c>
      <c r="I63">
        <f>H63+0.712947845804988</f>
        <v>3.4041642545088577</v>
      </c>
      <c r="J63">
        <f t="shared" si="25"/>
        <v>3.9558720463726225</v>
      </c>
      <c r="K63" s="2">
        <f t="shared" si="6"/>
        <v>0</v>
      </c>
      <c r="L63">
        <f t="shared" si="7"/>
        <v>1000</v>
      </c>
      <c r="M63">
        <f t="shared" si="8"/>
        <v>1735.6898219315181</v>
      </c>
      <c r="N63">
        <f t="shared" si="9"/>
        <v>2691.2164087038695</v>
      </c>
      <c r="O63">
        <f t="shared" si="10"/>
        <v>3404.1642545088575</v>
      </c>
      <c r="P63">
        <f t="shared" si="11"/>
        <v>3955.8720463726227</v>
      </c>
      <c r="Q63" s="2">
        <f t="shared" si="12"/>
        <v>200</v>
      </c>
      <c r="R63">
        <f t="shared" si="13"/>
        <v>1200</v>
      </c>
      <c r="S63">
        <f t="shared" si="14"/>
        <v>1935.6898219315181</v>
      </c>
      <c r="T63">
        <f t="shared" si="15"/>
        <v>2891.2164087038695</v>
      </c>
      <c r="U63">
        <f t="shared" si="16"/>
        <v>3604.1642545088575</v>
      </c>
      <c r="V63">
        <f t="shared" si="17"/>
        <v>4155.8720463726222</v>
      </c>
    </row>
    <row r="64" spans="1:22" x14ac:dyDescent="0.25">
      <c r="A64" t="s">
        <v>64</v>
      </c>
      <c r="B64" t="s">
        <v>120</v>
      </c>
      <c r="C64" t="s">
        <v>114</v>
      </c>
      <c r="D64" t="s">
        <v>116</v>
      </c>
      <c r="E64">
        <v>0</v>
      </c>
      <c r="F64">
        <v>1</v>
      </c>
      <c r="G64">
        <f t="shared" si="22"/>
        <v>1.735689821931518</v>
      </c>
      <c r="H64">
        <f t="shared" si="23"/>
        <v>2.6912164087038697</v>
      </c>
      <c r="I64">
        <f>H64+0.712947845804988</f>
        <v>3.4041642545088577</v>
      </c>
      <c r="J64">
        <f t="shared" si="25"/>
        <v>3.9558720463726225</v>
      </c>
      <c r="K64" s="2">
        <f t="shared" si="6"/>
        <v>0</v>
      </c>
      <c r="L64">
        <f t="shared" si="7"/>
        <v>1000</v>
      </c>
      <c r="M64">
        <f t="shared" si="8"/>
        <v>1735.6898219315181</v>
      </c>
      <c r="N64">
        <f t="shared" si="9"/>
        <v>2691.2164087038695</v>
      </c>
      <c r="O64">
        <f t="shared" si="10"/>
        <v>3404.1642545088575</v>
      </c>
      <c r="P64">
        <f t="shared" si="11"/>
        <v>3955.8720463726227</v>
      </c>
      <c r="Q64" s="2">
        <f t="shared" si="12"/>
        <v>200</v>
      </c>
      <c r="R64">
        <f t="shared" si="13"/>
        <v>1200</v>
      </c>
      <c r="S64">
        <f t="shared" si="14"/>
        <v>1935.6898219315181</v>
      </c>
      <c r="T64">
        <f t="shared" si="15"/>
        <v>2891.2164087038695</v>
      </c>
      <c r="U64">
        <f t="shared" si="16"/>
        <v>3604.1642545088575</v>
      </c>
      <c r="V64">
        <f t="shared" si="17"/>
        <v>4155.8720463726222</v>
      </c>
    </row>
    <row r="65" spans="1:22" x14ac:dyDescent="0.25">
      <c r="A65" t="s">
        <v>79</v>
      </c>
      <c r="B65" t="s">
        <v>120</v>
      </c>
      <c r="C65" t="s">
        <v>114</v>
      </c>
      <c r="D65" t="s">
        <v>118</v>
      </c>
      <c r="E65">
        <v>0</v>
      </c>
      <c r="F65">
        <v>1</v>
      </c>
      <c r="G65">
        <f t="shared" si="22"/>
        <v>1.735689821931518</v>
      </c>
      <c r="H65">
        <f t="shared" si="23"/>
        <v>2.6912164087038697</v>
      </c>
      <c r="I65">
        <f>H65+0.712947845804988</f>
        <v>3.4041642545088577</v>
      </c>
      <c r="J65">
        <f t="shared" si="25"/>
        <v>3.9558720463726225</v>
      </c>
      <c r="K65" s="2">
        <f t="shared" si="6"/>
        <v>0</v>
      </c>
      <c r="L65">
        <f t="shared" si="7"/>
        <v>1000</v>
      </c>
      <c r="M65">
        <f t="shared" si="8"/>
        <v>1735.6898219315181</v>
      </c>
      <c r="N65">
        <f t="shared" si="9"/>
        <v>2691.2164087038695</v>
      </c>
      <c r="O65">
        <f t="shared" si="10"/>
        <v>3404.1642545088575</v>
      </c>
      <c r="P65">
        <f t="shared" si="11"/>
        <v>3955.8720463726227</v>
      </c>
      <c r="Q65" s="2">
        <f t="shared" si="12"/>
        <v>200</v>
      </c>
      <c r="R65">
        <f t="shared" si="13"/>
        <v>1200</v>
      </c>
      <c r="S65">
        <f t="shared" si="14"/>
        <v>1935.6898219315181</v>
      </c>
      <c r="T65">
        <f t="shared" si="15"/>
        <v>2891.2164087038695</v>
      </c>
      <c r="U65">
        <f t="shared" si="16"/>
        <v>3604.1642545088575</v>
      </c>
      <c r="V65">
        <f t="shared" si="17"/>
        <v>4155.8720463726222</v>
      </c>
    </row>
    <row r="66" spans="1:22" x14ac:dyDescent="0.25">
      <c r="A66" t="s">
        <v>88</v>
      </c>
      <c r="B66" t="s">
        <v>120</v>
      </c>
      <c r="C66" t="s">
        <v>114</v>
      </c>
      <c r="D66" t="s">
        <v>115</v>
      </c>
      <c r="E66">
        <v>0</v>
      </c>
      <c r="F66">
        <v>1</v>
      </c>
      <c r="G66">
        <f t="shared" ref="G66:G97" si="27">F66+0.735689821931518</f>
        <v>1.735689821931518</v>
      </c>
      <c r="H66">
        <f t="shared" ref="H66:H72" si="28">F66+1.69121640870387</f>
        <v>2.6912164087038697</v>
      </c>
      <c r="I66">
        <f>H66+0.712947845804988</f>
        <v>3.4041642545088577</v>
      </c>
      <c r="J66">
        <f t="shared" si="25"/>
        <v>3.9558720463726225</v>
      </c>
      <c r="K66" s="2">
        <f t="shared" si="6"/>
        <v>0</v>
      </c>
      <c r="L66">
        <f t="shared" si="7"/>
        <v>1000</v>
      </c>
      <c r="M66">
        <f t="shared" si="8"/>
        <v>1735.6898219315181</v>
      </c>
      <c r="N66">
        <f t="shared" si="9"/>
        <v>2691.2164087038695</v>
      </c>
      <c r="O66">
        <f t="shared" si="10"/>
        <v>3404.1642545088575</v>
      </c>
      <c r="P66">
        <f t="shared" si="11"/>
        <v>3955.8720463726227</v>
      </c>
      <c r="Q66" s="2">
        <f t="shared" si="12"/>
        <v>200</v>
      </c>
      <c r="R66">
        <f t="shared" si="13"/>
        <v>1200</v>
      </c>
      <c r="S66">
        <f t="shared" si="14"/>
        <v>1935.6898219315181</v>
      </c>
      <c r="T66">
        <f t="shared" si="15"/>
        <v>2891.2164087038695</v>
      </c>
      <c r="U66">
        <f t="shared" si="16"/>
        <v>3604.1642545088575</v>
      </c>
      <c r="V66">
        <f t="shared" si="17"/>
        <v>4155.8720463726222</v>
      </c>
    </row>
    <row r="67" spans="1:22" x14ac:dyDescent="0.25">
      <c r="A67" t="s">
        <v>100</v>
      </c>
      <c r="B67" t="s">
        <v>120</v>
      </c>
      <c r="C67" t="s">
        <v>114</v>
      </c>
      <c r="D67" t="s">
        <v>129</v>
      </c>
      <c r="E67">
        <v>0</v>
      </c>
      <c r="F67">
        <v>1</v>
      </c>
      <c r="G67">
        <f t="shared" si="27"/>
        <v>1.735689821931518</v>
      </c>
      <c r="H67">
        <f t="shared" si="28"/>
        <v>2.6912164087038697</v>
      </c>
      <c r="I67">
        <f>H67+0.712947845804988</f>
        <v>3.4041642545088577</v>
      </c>
      <c r="J67">
        <f t="shared" si="25"/>
        <v>3.9558720463726225</v>
      </c>
      <c r="K67" s="2">
        <f t="shared" ref="K67:K72" si="29">E67*1000</f>
        <v>0</v>
      </c>
      <c r="L67">
        <f t="shared" ref="L67:L72" si="30">F67*1000</f>
        <v>1000</v>
      </c>
      <c r="M67">
        <f t="shared" ref="M67:M72" si="31">G67*1000</f>
        <v>1735.6898219315181</v>
      </c>
      <c r="N67">
        <f t="shared" ref="N67:N72" si="32">H67*1000</f>
        <v>2691.2164087038695</v>
      </c>
      <c r="O67">
        <f t="shared" ref="O67:O72" si="33">I67*1000</f>
        <v>3404.1642545088575</v>
      </c>
      <c r="P67">
        <f t="shared" ref="P67:P72" si="34">J67*1000</f>
        <v>3955.8720463726227</v>
      </c>
      <c r="Q67" s="2">
        <f t="shared" ref="Q67:Q72" si="35">K67+200</f>
        <v>200</v>
      </c>
      <c r="R67">
        <f t="shared" ref="R67:R72" si="36">L67+200</f>
        <v>1200</v>
      </c>
      <c r="S67">
        <f t="shared" ref="S67:S72" si="37">M67+200</f>
        <v>1935.6898219315181</v>
      </c>
      <c r="T67">
        <f t="shared" ref="T67:T72" si="38">N67+200</f>
        <v>2891.2164087038695</v>
      </c>
      <c r="U67">
        <f t="shared" ref="U67:U72" si="39">O67+200</f>
        <v>3604.1642545088575</v>
      </c>
      <c r="V67">
        <f t="shared" ref="V67:V72" si="40">P67+200</f>
        <v>4155.8720463726222</v>
      </c>
    </row>
    <row r="68" spans="1:22" x14ac:dyDescent="0.25">
      <c r="A68" t="s">
        <v>46</v>
      </c>
      <c r="B68" t="s">
        <v>119</v>
      </c>
      <c r="C68" t="s">
        <v>114</v>
      </c>
      <c r="D68" t="s">
        <v>118</v>
      </c>
      <c r="E68">
        <v>0</v>
      </c>
      <c r="F68">
        <v>1</v>
      </c>
      <c r="G68">
        <f t="shared" si="27"/>
        <v>1.735689821931518</v>
      </c>
      <c r="H68">
        <f t="shared" si="28"/>
        <v>2.6912164087038697</v>
      </c>
      <c r="I68">
        <f>H68+0.699433106575963</f>
        <v>3.3906495152798328</v>
      </c>
      <c r="J68">
        <f t="shared" si="25"/>
        <v>3.942357307143598</v>
      </c>
      <c r="K68" s="2">
        <f t="shared" si="29"/>
        <v>0</v>
      </c>
      <c r="L68">
        <f t="shared" si="30"/>
        <v>1000</v>
      </c>
      <c r="M68">
        <f t="shared" si="31"/>
        <v>1735.6898219315181</v>
      </c>
      <c r="N68">
        <f t="shared" si="32"/>
        <v>2691.2164087038695</v>
      </c>
      <c r="O68">
        <f t="shared" si="33"/>
        <v>3390.6495152798329</v>
      </c>
      <c r="P68">
        <f t="shared" si="34"/>
        <v>3942.3573071435981</v>
      </c>
      <c r="Q68" s="2">
        <f t="shared" si="35"/>
        <v>200</v>
      </c>
      <c r="R68">
        <f t="shared" si="36"/>
        <v>1200</v>
      </c>
      <c r="S68">
        <f t="shared" si="37"/>
        <v>1935.6898219315181</v>
      </c>
      <c r="T68">
        <f t="shared" si="38"/>
        <v>2891.2164087038695</v>
      </c>
      <c r="U68">
        <f t="shared" si="39"/>
        <v>3590.6495152798329</v>
      </c>
      <c r="V68">
        <f t="shared" si="40"/>
        <v>4142.3573071435985</v>
      </c>
    </row>
    <row r="69" spans="1:22" x14ac:dyDescent="0.25">
      <c r="A69" t="s">
        <v>65</v>
      </c>
      <c r="B69" t="s">
        <v>119</v>
      </c>
      <c r="C69" t="s">
        <v>114</v>
      </c>
      <c r="D69" t="s">
        <v>129</v>
      </c>
      <c r="E69">
        <v>0</v>
      </c>
      <c r="F69">
        <v>1</v>
      </c>
      <c r="G69">
        <f t="shared" si="27"/>
        <v>1.735689821931518</v>
      </c>
      <c r="H69">
        <f t="shared" si="28"/>
        <v>2.6912164087038697</v>
      </c>
      <c r="I69">
        <f>H69+0.699433106575963</f>
        <v>3.3906495152798328</v>
      </c>
      <c r="J69">
        <f t="shared" si="25"/>
        <v>3.942357307143598</v>
      </c>
      <c r="K69" s="2">
        <f t="shared" si="29"/>
        <v>0</v>
      </c>
      <c r="L69">
        <f t="shared" si="30"/>
        <v>1000</v>
      </c>
      <c r="M69">
        <f t="shared" si="31"/>
        <v>1735.6898219315181</v>
      </c>
      <c r="N69">
        <f t="shared" si="32"/>
        <v>2691.2164087038695</v>
      </c>
      <c r="O69">
        <f t="shared" si="33"/>
        <v>3390.6495152798329</v>
      </c>
      <c r="P69">
        <f t="shared" si="34"/>
        <v>3942.3573071435981</v>
      </c>
      <c r="Q69" s="2">
        <f t="shared" si="35"/>
        <v>200</v>
      </c>
      <c r="R69">
        <f t="shared" si="36"/>
        <v>1200</v>
      </c>
      <c r="S69">
        <f t="shared" si="37"/>
        <v>1935.6898219315181</v>
      </c>
      <c r="T69">
        <f t="shared" si="38"/>
        <v>2891.2164087038695</v>
      </c>
      <c r="U69">
        <f t="shared" si="39"/>
        <v>3590.6495152798329</v>
      </c>
      <c r="V69">
        <f t="shared" si="40"/>
        <v>4142.3573071435985</v>
      </c>
    </row>
    <row r="70" spans="1:22" x14ac:dyDescent="0.25">
      <c r="A70" t="s">
        <v>87</v>
      </c>
      <c r="B70" t="s">
        <v>119</v>
      </c>
      <c r="C70" t="s">
        <v>114</v>
      </c>
      <c r="D70" t="s">
        <v>116</v>
      </c>
      <c r="E70">
        <v>0</v>
      </c>
      <c r="F70">
        <v>1</v>
      </c>
      <c r="G70">
        <f t="shared" si="27"/>
        <v>1.735689821931518</v>
      </c>
      <c r="H70">
        <f t="shared" si="28"/>
        <v>2.6912164087038697</v>
      </c>
      <c r="I70">
        <f>H70+0.699433106575963</f>
        <v>3.3906495152798328</v>
      </c>
      <c r="J70">
        <f t="shared" si="25"/>
        <v>3.942357307143598</v>
      </c>
      <c r="K70" s="2">
        <f t="shared" si="29"/>
        <v>0</v>
      </c>
      <c r="L70">
        <f t="shared" si="30"/>
        <v>1000</v>
      </c>
      <c r="M70">
        <f t="shared" si="31"/>
        <v>1735.6898219315181</v>
      </c>
      <c r="N70">
        <f t="shared" si="32"/>
        <v>2691.2164087038695</v>
      </c>
      <c r="O70">
        <f t="shared" si="33"/>
        <v>3390.6495152798329</v>
      </c>
      <c r="P70">
        <f t="shared" si="34"/>
        <v>3942.3573071435981</v>
      </c>
      <c r="Q70" s="2">
        <f t="shared" si="35"/>
        <v>200</v>
      </c>
      <c r="R70">
        <f t="shared" si="36"/>
        <v>1200</v>
      </c>
      <c r="S70">
        <f t="shared" si="37"/>
        <v>1935.6898219315181</v>
      </c>
      <c r="T70">
        <f t="shared" si="38"/>
        <v>2891.2164087038695</v>
      </c>
      <c r="U70">
        <f t="shared" si="39"/>
        <v>3590.6495152798329</v>
      </c>
      <c r="V70">
        <f t="shared" si="40"/>
        <v>4142.3573071435985</v>
      </c>
    </row>
    <row r="71" spans="1:22" x14ac:dyDescent="0.25">
      <c r="A71" t="s">
        <v>99</v>
      </c>
      <c r="B71" t="s">
        <v>119</v>
      </c>
      <c r="C71" t="s">
        <v>114</v>
      </c>
      <c r="D71" t="s">
        <v>115</v>
      </c>
      <c r="E71">
        <v>0</v>
      </c>
      <c r="F71">
        <v>1</v>
      </c>
      <c r="G71">
        <f t="shared" si="27"/>
        <v>1.735689821931518</v>
      </c>
      <c r="H71">
        <f t="shared" si="28"/>
        <v>2.6912164087038697</v>
      </c>
      <c r="I71">
        <f>H71+0.699433106575963</f>
        <v>3.3906495152798328</v>
      </c>
      <c r="J71">
        <f t="shared" si="25"/>
        <v>3.942357307143598</v>
      </c>
      <c r="K71" s="2">
        <f t="shared" si="29"/>
        <v>0</v>
      </c>
      <c r="L71">
        <f t="shared" si="30"/>
        <v>1000</v>
      </c>
      <c r="M71">
        <f t="shared" si="31"/>
        <v>1735.6898219315181</v>
      </c>
      <c r="N71">
        <f t="shared" si="32"/>
        <v>2691.2164087038695</v>
      </c>
      <c r="O71">
        <f t="shared" si="33"/>
        <v>3390.6495152798329</v>
      </c>
      <c r="P71">
        <f t="shared" si="34"/>
        <v>3942.3573071435981</v>
      </c>
      <c r="Q71" s="2">
        <f t="shared" si="35"/>
        <v>200</v>
      </c>
      <c r="R71">
        <f t="shared" si="36"/>
        <v>1200</v>
      </c>
      <c r="S71">
        <f t="shared" si="37"/>
        <v>1935.6898219315181</v>
      </c>
      <c r="T71">
        <f t="shared" si="38"/>
        <v>2891.2164087038695</v>
      </c>
      <c r="U71">
        <f t="shared" si="39"/>
        <v>3590.6495152798329</v>
      </c>
      <c r="V71">
        <f t="shared" si="40"/>
        <v>4142.3573071435985</v>
      </c>
    </row>
    <row r="72" spans="1:22" x14ac:dyDescent="0.25">
      <c r="A72" t="s">
        <v>107</v>
      </c>
      <c r="B72" t="s">
        <v>119</v>
      </c>
      <c r="C72" t="s">
        <v>114</v>
      </c>
      <c r="D72" t="s">
        <v>116</v>
      </c>
      <c r="E72">
        <v>0</v>
      </c>
      <c r="F72">
        <v>1</v>
      </c>
      <c r="G72">
        <f t="shared" si="27"/>
        <v>1.735689821931518</v>
      </c>
      <c r="H72">
        <f t="shared" si="28"/>
        <v>2.6912164087038697</v>
      </c>
      <c r="I72">
        <f>H72+0.699433106575963</f>
        <v>3.3906495152798328</v>
      </c>
      <c r="J72">
        <f t="shared" si="25"/>
        <v>3.942357307143598</v>
      </c>
      <c r="K72" s="2">
        <f t="shared" si="29"/>
        <v>0</v>
      </c>
      <c r="L72">
        <f t="shared" si="30"/>
        <v>1000</v>
      </c>
      <c r="M72">
        <f t="shared" si="31"/>
        <v>1735.6898219315181</v>
      </c>
      <c r="N72">
        <f t="shared" si="32"/>
        <v>2691.2164087038695</v>
      </c>
      <c r="O72">
        <f t="shared" si="33"/>
        <v>3390.6495152798329</v>
      </c>
      <c r="P72">
        <f t="shared" si="34"/>
        <v>3942.3573071435981</v>
      </c>
      <c r="Q72" s="2">
        <f t="shared" si="35"/>
        <v>200</v>
      </c>
      <c r="R72">
        <f t="shared" si="36"/>
        <v>1200</v>
      </c>
      <c r="S72">
        <f t="shared" si="37"/>
        <v>1935.6898219315181</v>
      </c>
      <c r="T72">
        <f t="shared" si="38"/>
        <v>2891.2164087038695</v>
      </c>
      <c r="U72">
        <f t="shared" si="39"/>
        <v>3590.6495152798329</v>
      </c>
      <c r="V72">
        <f t="shared" si="40"/>
        <v>4142.3573071435985</v>
      </c>
    </row>
  </sheetData>
  <sortState ref="A2:J72">
    <sortCondition ref="C2:C7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72"/>
  <sheetViews>
    <sheetView topLeftCell="B1" zoomScale="90" zoomScaleNormal="90" workbookViewId="0">
      <selection activeCell="L1" sqref="L1"/>
    </sheetView>
  </sheetViews>
  <sheetFormatPr defaultRowHeight="15" x14ac:dyDescent="0.25"/>
  <cols>
    <col min="1" max="1" width="24.42578125" customWidth="1"/>
    <col min="2" max="2" width="10.5703125" customWidth="1"/>
    <col min="8" max="8" width="13.7109375" customWidth="1"/>
    <col min="9" max="9" width="11.42578125" customWidth="1"/>
    <col min="10" max="10" width="12.7109375" customWidth="1"/>
    <col min="11" max="11" width="16.42578125" customWidth="1"/>
    <col min="12" max="12" width="12.42578125" customWidth="1"/>
    <col min="13" max="13" width="13.42578125" customWidth="1"/>
  </cols>
  <sheetData>
    <row r="1" spans="1:13" x14ac:dyDescent="0.25">
      <c r="A1" t="s">
        <v>0</v>
      </c>
      <c r="B1" t="s">
        <v>139</v>
      </c>
      <c r="C1" t="s">
        <v>140</v>
      </c>
      <c r="D1" t="s">
        <v>141</v>
      </c>
      <c r="E1" t="s">
        <v>142</v>
      </c>
      <c r="F1" t="s">
        <v>143</v>
      </c>
      <c r="G1" t="s">
        <v>144</v>
      </c>
      <c r="H1" t="s">
        <v>132</v>
      </c>
      <c r="I1" t="s">
        <v>34</v>
      </c>
      <c r="J1" t="s">
        <v>35</v>
      </c>
      <c r="K1" t="s">
        <v>36</v>
      </c>
      <c r="L1" t="s">
        <v>37</v>
      </c>
      <c r="M1" t="s">
        <v>38</v>
      </c>
    </row>
    <row r="2" spans="1:13" x14ac:dyDescent="0.25">
      <c r="A2" t="s">
        <v>58</v>
      </c>
      <c r="B2">
        <v>200</v>
      </c>
      <c r="C2">
        <v>1200</v>
      </c>
      <c r="D2">
        <v>1935.6898219315181</v>
      </c>
      <c r="E2">
        <v>2891.2164087038695</v>
      </c>
      <c r="F2">
        <v>3600.6775214540216</v>
      </c>
      <c r="G2">
        <v>4152.709874311462</v>
      </c>
      <c r="H2" s="3">
        <f>B2/17</f>
        <v>11.764705882352942</v>
      </c>
      <c r="I2" s="3">
        <f t="shared" ref="I2:M2" si="0">C2/17</f>
        <v>70.588235294117652</v>
      </c>
      <c r="J2" s="3">
        <f t="shared" si="0"/>
        <v>113.86410717244223</v>
      </c>
      <c r="K2" s="3">
        <f t="shared" si="0"/>
        <v>170.0715534531688</v>
      </c>
      <c r="L2" s="3">
        <f t="shared" si="0"/>
        <v>211.80456008553068</v>
      </c>
      <c r="M2" s="3">
        <f t="shared" si="0"/>
        <v>244.277051430086</v>
      </c>
    </row>
    <row r="3" spans="1:13" x14ac:dyDescent="0.25">
      <c r="A3" t="s">
        <v>59</v>
      </c>
      <c r="B3">
        <v>200</v>
      </c>
      <c r="C3">
        <v>1200</v>
      </c>
      <c r="D3">
        <v>1935.6898219315181</v>
      </c>
      <c r="E3">
        <v>2891.2164087038695</v>
      </c>
      <c r="F3">
        <v>3600.6775214540216</v>
      </c>
      <c r="G3">
        <v>4152.709874311462</v>
      </c>
      <c r="H3" s="3">
        <f t="shared" ref="H3:H66" si="1">B3/17</f>
        <v>11.764705882352942</v>
      </c>
      <c r="I3" s="3">
        <f t="shared" ref="I3:I66" si="2">C3/17</f>
        <v>70.588235294117652</v>
      </c>
      <c r="J3" s="3">
        <f t="shared" ref="J3:J66" si="3">D3/17</f>
        <v>113.86410717244223</v>
      </c>
      <c r="K3" s="3">
        <f t="shared" ref="K3:K66" si="4">E3/17</f>
        <v>170.0715534531688</v>
      </c>
      <c r="L3" s="3">
        <f t="shared" ref="L3:L66" si="5">F3/17</f>
        <v>211.80456008553068</v>
      </c>
      <c r="M3" s="3">
        <f t="shared" ref="M3:M66" si="6">G3/17</f>
        <v>244.277051430086</v>
      </c>
    </row>
    <row r="4" spans="1:13" x14ac:dyDescent="0.25">
      <c r="A4" t="s">
        <v>76</v>
      </c>
      <c r="B4">
        <v>200</v>
      </c>
      <c r="C4">
        <v>1200</v>
      </c>
      <c r="D4">
        <v>1935.6898219315181</v>
      </c>
      <c r="E4">
        <v>2891.2164087038695</v>
      </c>
      <c r="F4">
        <v>3600.6775214540216</v>
      </c>
      <c r="G4">
        <v>4152.709874311462</v>
      </c>
      <c r="H4" s="3">
        <f t="shared" si="1"/>
        <v>11.764705882352942</v>
      </c>
      <c r="I4" s="3">
        <f t="shared" si="2"/>
        <v>70.588235294117652</v>
      </c>
      <c r="J4" s="3">
        <f t="shared" si="3"/>
        <v>113.86410717244223</v>
      </c>
      <c r="K4" s="3">
        <f t="shared" si="4"/>
        <v>170.0715534531688</v>
      </c>
      <c r="L4" s="3">
        <f t="shared" si="5"/>
        <v>211.80456008553068</v>
      </c>
      <c r="M4" s="3">
        <f t="shared" si="6"/>
        <v>244.277051430086</v>
      </c>
    </row>
    <row r="5" spans="1:13" x14ac:dyDescent="0.25">
      <c r="A5" t="s">
        <v>77</v>
      </c>
      <c r="B5">
        <v>200</v>
      </c>
      <c r="C5">
        <v>1200</v>
      </c>
      <c r="D5">
        <v>1935.6898219315181</v>
      </c>
      <c r="E5">
        <v>2891.2164087038695</v>
      </c>
      <c r="F5">
        <v>3600.6775214540216</v>
      </c>
      <c r="G5">
        <v>4152.709874311462</v>
      </c>
      <c r="H5" s="3">
        <f t="shared" si="1"/>
        <v>11.764705882352942</v>
      </c>
      <c r="I5" s="3">
        <f t="shared" si="2"/>
        <v>70.588235294117652</v>
      </c>
      <c r="J5" s="3">
        <f t="shared" si="3"/>
        <v>113.86410717244223</v>
      </c>
      <c r="K5" s="3">
        <f t="shared" si="4"/>
        <v>170.0715534531688</v>
      </c>
      <c r="L5" s="3">
        <f t="shared" si="5"/>
        <v>211.80456008553068</v>
      </c>
      <c r="M5" s="3">
        <f t="shared" si="6"/>
        <v>244.277051430086</v>
      </c>
    </row>
    <row r="6" spans="1:13" x14ac:dyDescent="0.25">
      <c r="A6" t="s">
        <v>84</v>
      </c>
      <c r="B6">
        <v>200</v>
      </c>
      <c r="C6">
        <v>1200</v>
      </c>
      <c r="D6">
        <v>1935.6898219315181</v>
      </c>
      <c r="E6">
        <v>2891.2164087038695</v>
      </c>
      <c r="F6">
        <v>3600.6775214540216</v>
      </c>
      <c r="G6">
        <v>4152.709874311462</v>
      </c>
      <c r="H6" s="3">
        <f t="shared" si="1"/>
        <v>11.764705882352942</v>
      </c>
      <c r="I6" s="3">
        <f t="shared" si="2"/>
        <v>70.588235294117652</v>
      </c>
      <c r="J6" s="3">
        <f t="shared" si="3"/>
        <v>113.86410717244223</v>
      </c>
      <c r="K6" s="3">
        <f t="shared" si="4"/>
        <v>170.0715534531688</v>
      </c>
      <c r="L6" s="3">
        <f t="shared" si="5"/>
        <v>211.80456008553068</v>
      </c>
      <c r="M6" s="3">
        <f t="shared" si="6"/>
        <v>244.277051430086</v>
      </c>
    </row>
    <row r="7" spans="1:13" x14ac:dyDescent="0.25">
      <c r="A7" t="s">
        <v>95</v>
      </c>
      <c r="B7">
        <v>200</v>
      </c>
      <c r="C7">
        <v>1200</v>
      </c>
      <c r="D7">
        <v>1935.6898219315181</v>
      </c>
      <c r="E7">
        <v>2891.2164087038695</v>
      </c>
      <c r="F7">
        <v>3600.6775214540216</v>
      </c>
      <c r="G7">
        <v>4152.709874311462</v>
      </c>
      <c r="H7" s="3">
        <f t="shared" si="1"/>
        <v>11.764705882352942</v>
      </c>
      <c r="I7" s="3">
        <f t="shared" si="2"/>
        <v>70.588235294117652</v>
      </c>
      <c r="J7" s="3">
        <f t="shared" si="3"/>
        <v>113.86410717244223</v>
      </c>
      <c r="K7" s="3">
        <f t="shared" si="4"/>
        <v>170.0715534531688</v>
      </c>
      <c r="L7" s="3">
        <f t="shared" si="5"/>
        <v>211.80456008553068</v>
      </c>
      <c r="M7" s="3">
        <f t="shared" si="6"/>
        <v>244.277051430086</v>
      </c>
    </row>
    <row r="8" spans="1:13" x14ac:dyDescent="0.25">
      <c r="A8" t="s">
        <v>96</v>
      </c>
      <c r="B8">
        <v>200</v>
      </c>
      <c r="C8">
        <v>1200</v>
      </c>
      <c r="D8">
        <v>1935.6898219315181</v>
      </c>
      <c r="E8">
        <v>2891.2164087038695</v>
      </c>
      <c r="F8">
        <v>3600.6775214540216</v>
      </c>
      <c r="G8">
        <v>4152.709874311462</v>
      </c>
      <c r="H8" s="3">
        <f t="shared" si="1"/>
        <v>11.764705882352942</v>
      </c>
      <c r="I8" s="3">
        <f t="shared" si="2"/>
        <v>70.588235294117652</v>
      </c>
      <c r="J8" s="3">
        <f t="shared" si="3"/>
        <v>113.86410717244223</v>
      </c>
      <c r="K8" s="3">
        <f t="shared" si="4"/>
        <v>170.0715534531688</v>
      </c>
      <c r="L8" s="3">
        <f t="shared" si="5"/>
        <v>211.80456008553068</v>
      </c>
      <c r="M8" s="3">
        <f t="shared" si="6"/>
        <v>244.277051430086</v>
      </c>
    </row>
    <row r="9" spans="1:13" x14ac:dyDescent="0.25">
      <c r="A9" t="s">
        <v>111</v>
      </c>
      <c r="B9">
        <v>200</v>
      </c>
      <c r="C9">
        <v>1200</v>
      </c>
      <c r="D9">
        <v>1935.6898219315181</v>
      </c>
      <c r="E9">
        <v>2891.2164087038695</v>
      </c>
      <c r="F9">
        <v>3600.6775214540216</v>
      </c>
      <c r="G9">
        <v>4152.709874311462</v>
      </c>
      <c r="H9" s="3">
        <f t="shared" si="1"/>
        <v>11.764705882352942</v>
      </c>
      <c r="I9" s="3">
        <f t="shared" si="2"/>
        <v>70.588235294117652</v>
      </c>
      <c r="J9" s="3">
        <f t="shared" si="3"/>
        <v>113.86410717244223</v>
      </c>
      <c r="K9" s="3">
        <f t="shared" si="4"/>
        <v>170.0715534531688</v>
      </c>
      <c r="L9" s="3">
        <f t="shared" si="5"/>
        <v>211.80456008553068</v>
      </c>
      <c r="M9" s="3">
        <f t="shared" si="6"/>
        <v>244.277051430086</v>
      </c>
    </row>
    <row r="10" spans="1:13" x14ac:dyDescent="0.25">
      <c r="A10" t="s">
        <v>56</v>
      </c>
      <c r="B10">
        <v>200</v>
      </c>
      <c r="C10">
        <v>1200</v>
      </c>
      <c r="D10">
        <v>1935.6898219315181</v>
      </c>
      <c r="E10">
        <v>2891.2164087038695</v>
      </c>
      <c r="F10">
        <v>3602.6676558694016</v>
      </c>
      <c r="G10">
        <v>4154.7000087268407</v>
      </c>
      <c r="H10" s="3">
        <f t="shared" si="1"/>
        <v>11.764705882352942</v>
      </c>
      <c r="I10" s="3">
        <f t="shared" si="2"/>
        <v>70.588235294117652</v>
      </c>
      <c r="J10" s="3">
        <f t="shared" si="3"/>
        <v>113.86410717244223</v>
      </c>
      <c r="K10" s="3">
        <f t="shared" si="4"/>
        <v>170.0715534531688</v>
      </c>
      <c r="L10" s="3">
        <f t="shared" si="5"/>
        <v>211.92162681584716</v>
      </c>
      <c r="M10" s="3">
        <f t="shared" si="6"/>
        <v>244.3941181604024</v>
      </c>
    </row>
    <row r="11" spans="1:13" x14ac:dyDescent="0.25">
      <c r="A11" t="s">
        <v>57</v>
      </c>
      <c r="B11">
        <v>200</v>
      </c>
      <c r="C11">
        <v>1200</v>
      </c>
      <c r="D11">
        <v>1935.6898219315181</v>
      </c>
      <c r="E11">
        <v>2891.2164087038695</v>
      </c>
      <c r="F11">
        <v>3602.6676558694016</v>
      </c>
      <c r="G11">
        <v>4154.7000087268407</v>
      </c>
      <c r="H11" s="3">
        <f t="shared" si="1"/>
        <v>11.764705882352942</v>
      </c>
      <c r="I11" s="3">
        <f t="shared" si="2"/>
        <v>70.588235294117652</v>
      </c>
      <c r="J11" s="3">
        <f t="shared" si="3"/>
        <v>113.86410717244223</v>
      </c>
      <c r="K11" s="3">
        <f t="shared" si="4"/>
        <v>170.0715534531688</v>
      </c>
      <c r="L11" s="3">
        <f t="shared" si="5"/>
        <v>211.92162681584716</v>
      </c>
      <c r="M11" s="3">
        <f t="shared" si="6"/>
        <v>244.3941181604024</v>
      </c>
    </row>
    <row r="12" spans="1:13" x14ac:dyDescent="0.25">
      <c r="A12" t="s">
        <v>74</v>
      </c>
      <c r="B12">
        <v>200</v>
      </c>
      <c r="C12">
        <v>1200</v>
      </c>
      <c r="D12">
        <v>1935.6898219315181</v>
      </c>
      <c r="E12">
        <v>2891.2164087038695</v>
      </c>
      <c r="F12">
        <v>3602.6676558694016</v>
      </c>
      <c r="G12">
        <v>4154.7000087268407</v>
      </c>
      <c r="H12" s="3">
        <f t="shared" si="1"/>
        <v>11.764705882352942</v>
      </c>
      <c r="I12" s="3">
        <f t="shared" si="2"/>
        <v>70.588235294117652</v>
      </c>
      <c r="J12" s="3">
        <f t="shared" si="3"/>
        <v>113.86410717244223</v>
      </c>
      <c r="K12" s="3">
        <f t="shared" si="4"/>
        <v>170.0715534531688</v>
      </c>
      <c r="L12" s="3">
        <f t="shared" si="5"/>
        <v>211.92162681584716</v>
      </c>
      <c r="M12" s="3">
        <f t="shared" si="6"/>
        <v>244.3941181604024</v>
      </c>
    </row>
    <row r="13" spans="1:13" x14ac:dyDescent="0.25">
      <c r="A13" t="s">
        <v>75</v>
      </c>
      <c r="B13">
        <v>200</v>
      </c>
      <c r="C13">
        <v>1200</v>
      </c>
      <c r="D13">
        <v>1935.6898219315181</v>
      </c>
      <c r="E13">
        <v>2891.2164087038695</v>
      </c>
      <c r="F13">
        <v>3602.6676558694016</v>
      </c>
      <c r="G13">
        <v>4154.7000087268407</v>
      </c>
      <c r="H13" s="3">
        <f t="shared" si="1"/>
        <v>11.764705882352942</v>
      </c>
      <c r="I13" s="3">
        <f t="shared" si="2"/>
        <v>70.588235294117652</v>
      </c>
      <c r="J13" s="3">
        <f t="shared" si="3"/>
        <v>113.86410717244223</v>
      </c>
      <c r="K13" s="3">
        <f t="shared" si="4"/>
        <v>170.0715534531688</v>
      </c>
      <c r="L13" s="3">
        <f t="shared" si="5"/>
        <v>211.92162681584716</v>
      </c>
      <c r="M13" s="3">
        <f t="shared" si="6"/>
        <v>244.3941181604024</v>
      </c>
    </row>
    <row r="14" spans="1:13" x14ac:dyDescent="0.25">
      <c r="A14" t="s">
        <v>93</v>
      </c>
      <c r="B14">
        <v>200</v>
      </c>
      <c r="C14">
        <v>1200</v>
      </c>
      <c r="D14">
        <v>1935.6898219315181</v>
      </c>
      <c r="E14">
        <v>2891.2164087038695</v>
      </c>
      <c r="F14">
        <v>3602.6676558694016</v>
      </c>
      <c r="G14">
        <v>4154.7000087268407</v>
      </c>
      <c r="H14" s="3">
        <f t="shared" si="1"/>
        <v>11.764705882352942</v>
      </c>
      <c r="I14" s="3">
        <f t="shared" si="2"/>
        <v>70.588235294117652</v>
      </c>
      <c r="J14" s="3">
        <f t="shared" si="3"/>
        <v>113.86410717244223</v>
      </c>
      <c r="K14" s="3">
        <f t="shared" si="4"/>
        <v>170.0715534531688</v>
      </c>
      <c r="L14" s="3">
        <f t="shared" si="5"/>
        <v>211.92162681584716</v>
      </c>
      <c r="M14" s="3">
        <f t="shared" si="6"/>
        <v>244.3941181604024</v>
      </c>
    </row>
    <row r="15" spans="1:13" x14ac:dyDescent="0.25">
      <c r="A15" t="s">
        <v>94</v>
      </c>
      <c r="B15">
        <v>200</v>
      </c>
      <c r="C15">
        <v>1200</v>
      </c>
      <c r="D15">
        <v>1935.6898219315181</v>
      </c>
      <c r="E15">
        <v>2891.2164087038695</v>
      </c>
      <c r="F15">
        <v>3602.6676558694016</v>
      </c>
      <c r="G15">
        <v>4154.7000087268407</v>
      </c>
      <c r="H15" s="3">
        <f t="shared" si="1"/>
        <v>11.764705882352942</v>
      </c>
      <c r="I15" s="3">
        <f t="shared" si="2"/>
        <v>70.588235294117652</v>
      </c>
      <c r="J15" s="3">
        <f t="shared" si="3"/>
        <v>113.86410717244223</v>
      </c>
      <c r="K15" s="3">
        <f t="shared" si="4"/>
        <v>170.0715534531688</v>
      </c>
      <c r="L15" s="3">
        <f t="shared" si="5"/>
        <v>211.92162681584716</v>
      </c>
      <c r="M15" s="3">
        <f t="shared" si="6"/>
        <v>244.3941181604024</v>
      </c>
    </row>
    <row r="16" spans="1:13" x14ac:dyDescent="0.25">
      <c r="A16" t="s">
        <v>55</v>
      </c>
      <c r="B16">
        <v>200</v>
      </c>
      <c r="C16">
        <v>1200</v>
      </c>
      <c r="D16">
        <v>1935.6898219315181</v>
      </c>
      <c r="E16">
        <v>2891.2164087038695</v>
      </c>
      <c r="F16">
        <v>3604.1642545088575</v>
      </c>
      <c r="G16">
        <v>4156.1966073662979</v>
      </c>
      <c r="H16" s="3">
        <f t="shared" si="1"/>
        <v>11.764705882352942</v>
      </c>
      <c r="I16" s="3">
        <f t="shared" si="2"/>
        <v>70.588235294117652</v>
      </c>
      <c r="J16" s="3">
        <f t="shared" si="3"/>
        <v>113.86410717244223</v>
      </c>
      <c r="K16" s="3">
        <f t="shared" si="4"/>
        <v>170.0715534531688</v>
      </c>
      <c r="L16" s="3">
        <f t="shared" si="5"/>
        <v>212.0096620299328</v>
      </c>
      <c r="M16" s="3">
        <f t="shared" si="6"/>
        <v>244.48215337448812</v>
      </c>
    </row>
    <row r="17" spans="1:13" x14ac:dyDescent="0.25">
      <c r="A17" t="s">
        <v>72</v>
      </c>
      <c r="B17">
        <v>200</v>
      </c>
      <c r="C17">
        <v>1200</v>
      </c>
      <c r="D17">
        <v>1935.6898219315181</v>
      </c>
      <c r="E17">
        <v>2891.2164087038695</v>
      </c>
      <c r="F17">
        <v>3604.1642545088575</v>
      </c>
      <c r="G17">
        <v>4156.1966073662979</v>
      </c>
      <c r="H17" s="3">
        <f t="shared" si="1"/>
        <v>11.764705882352942</v>
      </c>
      <c r="I17" s="3">
        <f t="shared" si="2"/>
        <v>70.588235294117652</v>
      </c>
      <c r="J17" s="3">
        <f t="shared" si="3"/>
        <v>113.86410717244223</v>
      </c>
      <c r="K17" s="3">
        <f t="shared" si="4"/>
        <v>170.0715534531688</v>
      </c>
      <c r="L17" s="3">
        <f t="shared" si="5"/>
        <v>212.0096620299328</v>
      </c>
      <c r="M17" s="3">
        <f t="shared" si="6"/>
        <v>244.48215337448812</v>
      </c>
    </row>
    <row r="18" spans="1:13" x14ac:dyDescent="0.25">
      <c r="A18" t="s">
        <v>98</v>
      </c>
      <c r="B18">
        <v>200</v>
      </c>
      <c r="C18">
        <v>1200</v>
      </c>
      <c r="D18">
        <v>1935.6898219315181</v>
      </c>
      <c r="E18">
        <v>2891.2164087038695</v>
      </c>
      <c r="F18">
        <v>3604.1642545088575</v>
      </c>
      <c r="G18">
        <v>4156.1966073662979</v>
      </c>
      <c r="H18" s="3">
        <f t="shared" si="1"/>
        <v>11.764705882352942</v>
      </c>
      <c r="I18" s="3">
        <f t="shared" si="2"/>
        <v>70.588235294117652</v>
      </c>
      <c r="J18" s="3">
        <f t="shared" si="3"/>
        <v>113.86410717244223</v>
      </c>
      <c r="K18" s="3">
        <f t="shared" si="4"/>
        <v>170.0715534531688</v>
      </c>
      <c r="L18" s="3">
        <f t="shared" si="5"/>
        <v>212.0096620299328</v>
      </c>
      <c r="M18" s="3">
        <f t="shared" si="6"/>
        <v>244.48215337448812</v>
      </c>
    </row>
    <row r="19" spans="1:13" x14ac:dyDescent="0.25">
      <c r="A19" t="s">
        <v>106</v>
      </c>
      <c r="B19">
        <v>200</v>
      </c>
      <c r="C19">
        <v>1200</v>
      </c>
      <c r="D19">
        <v>1935.6898219315181</v>
      </c>
      <c r="E19">
        <v>2891.2164087038695</v>
      </c>
      <c r="F19">
        <v>3604.1642545088575</v>
      </c>
      <c r="G19">
        <v>4156.1966073662979</v>
      </c>
      <c r="H19" s="3">
        <f t="shared" si="1"/>
        <v>11.764705882352942</v>
      </c>
      <c r="I19" s="3">
        <f t="shared" si="2"/>
        <v>70.588235294117652</v>
      </c>
      <c r="J19" s="3">
        <f t="shared" si="3"/>
        <v>113.86410717244223</v>
      </c>
      <c r="K19" s="3">
        <f t="shared" si="4"/>
        <v>170.0715534531688</v>
      </c>
      <c r="L19" s="3">
        <f t="shared" si="5"/>
        <v>212.0096620299328</v>
      </c>
      <c r="M19" s="3">
        <f t="shared" si="6"/>
        <v>244.48215337448812</v>
      </c>
    </row>
    <row r="20" spans="1:13" x14ac:dyDescent="0.25">
      <c r="A20" t="s">
        <v>54</v>
      </c>
      <c r="B20">
        <v>200</v>
      </c>
      <c r="C20">
        <v>1200</v>
      </c>
      <c r="D20">
        <v>1935.6898219315181</v>
      </c>
      <c r="E20">
        <v>2891.2164087038695</v>
      </c>
      <c r="F20">
        <v>3590.6495152798329</v>
      </c>
      <c r="G20">
        <v>4142.6818681372724</v>
      </c>
      <c r="H20" s="3">
        <f t="shared" si="1"/>
        <v>11.764705882352942</v>
      </c>
      <c r="I20" s="3">
        <f t="shared" si="2"/>
        <v>70.588235294117652</v>
      </c>
      <c r="J20" s="3">
        <f t="shared" si="3"/>
        <v>113.86410717244223</v>
      </c>
      <c r="K20" s="3">
        <f t="shared" si="4"/>
        <v>170.0715534531688</v>
      </c>
      <c r="L20" s="3">
        <f t="shared" si="5"/>
        <v>211.21467736940193</v>
      </c>
      <c r="M20" s="3">
        <f t="shared" si="6"/>
        <v>243.68716871395719</v>
      </c>
    </row>
    <row r="21" spans="1:13" x14ac:dyDescent="0.25">
      <c r="A21" t="s">
        <v>73</v>
      </c>
      <c r="B21">
        <v>200</v>
      </c>
      <c r="C21">
        <v>1200</v>
      </c>
      <c r="D21">
        <v>1935.6898219315181</v>
      </c>
      <c r="E21">
        <v>2891.2164087038695</v>
      </c>
      <c r="F21">
        <v>3590.6495152798329</v>
      </c>
      <c r="G21">
        <v>4142.6818681372724</v>
      </c>
      <c r="H21" s="3">
        <f t="shared" si="1"/>
        <v>11.764705882352942</v>
      </c>
      <c r="I21" s="3">
        <f t="shared" si="2"/>
        <v>70.588235294117652</v>
      </c>
      <c r="J21" s="3">
        <f t="shared" si="3"/>
        <v>113.86410717244223</v>
      </c>
      <c r="K21" s="3">
        <f t="shared" si="4"/>
        <v>170.0715534531688</v>
      </c>
      <c r="L21" s="3">
        <f t="shared" si="5"/>
        <v>211.21467736940193</v>
      </c>
      <c r="M21" s="3">
        <f t="shared" si="6"/>
        <v>243.68716871395719</v>
      </c>
    </row>
    <row r="22" spans="1:13" x14ac:dyDescent="0.25">
      <c r="A22" t="s">
        <v>97</v>
      </c>
      <c r="B22">
        <v>200</v>
      </c>
      <c r="C22">
        <v>1200</v>
      </c>
      <c r="D22">
        <v>1935.6898219315181</v>
      </c>
      <c r="E22">
        <v>2891.2164087038695</v>
      </c>
      <c r="F22">
        <v>3590.6495152798329</v>
      </c>
      <c r="G22">
        <v>4142.6818681372724</v>
      </c>
      <c r="H22" s="3">
        <f t="shared" si="1"/>
        <v>11.764705882352942</v>
      </c>
      <c r="I22" s="3">
        <f t="shared" si="2"/>
        <v>70.588235294117652</v>
      </c>
      <c r="J22" s="3">
        <f t="shared" si="3"/>
        <v>113.86410717244223</v>
      </c>
      <c r="K22" s="3">
        <f t="shared" si="4"/>
        <v>170.0715534531688</v>
      </c>
      <c r="L22" s="3">
        <f t="shared" si="5"/>
        <v>211.21467736940193</v>
      </c>
      <c r="M22" s="3">
        <f t="shared" si="6"/>
        <v>243.68716871395719</v>
      </c>
    </row>
    <row r="23" spans="1:13" x14ac:dyDescent="0.25">
      <c r="A23" t="s">
        <v>105</v>
      </c>
      <c r="B23">
        <v>200</v>
      </c>
      <c r="C23">
        <v>1200</v>
      </c>
      <c r="D23">
        <v>1935.6898219315181</v>
      </c>
      <c r="E23">
        <v>2891.2164087038695</v>
      </c>
      <c r="F23">
        <v>3590.6495152798329</v>
      </c>
      <c r="G23">
        <v>4142.6818681372724</v>
      </c>
      <c r="H23" s="3">
        <f t="shared" si="1"/>
        <v>11.764705882352942</v>
      </c>
      <c r="I23" s="3">
        <f t="shared" si="2"/>
        <v>70.588235294117652</v>
      </c>
      <c r="J23" s="3">
        <f t="shared" si="3"/>
        <v>113.86410717244223</v>
      </c>
      <c r="K23" s="3">
        <f t="shared" si="4"/>
        <v>170.0715534531688</v>
      </c>
      <c r="L23" s="3">
        <f t="shared" si="5"/>
        <v>211.21467736940193</v>
      </c>
      <c r="M23" s="3">
        <f t="shared" si="6"/>
        <v>243.68716871395719</v>
      </c>
    </row>
    <row r="24" spans="1:13" x14ac:dyDescent="0.25">
      <c r="A24" t="s">
        <v>112</v>
      </c>
      <c r="B24">
        <v>200</v>
      </c>
      <c r="C24">
        <v>1200</v>
      </c>
      <c r="D24">
        <v>1935.6898219315181</v>
      </c>
      <c r="E24">
        <v>2891.2164087038695</v>
      </c>
      <c r="F24">
        <v>3590.6495152798329</v>
      </c>
      <c r="G24">
        <v>4142.6818681372724</v>
      </c>
      <c r="H24" s="3">
        <f t="shared" si="1"/>
        <v>11.764705882352942</v>
      </c>
      <c r="I24" s="3">
        <f t="shared" si="2"/>
        <v>70.588235294117652</v>
      </c>
      <c r="J24" s="3">
        <f t="shared" si="3"/>
        <v>113.86410717244223</v>
      </c>
      <c r="K24" s="3">
        <f t="shared" si="4"/>
        <v>170.0715534531688</v>
      </c>
      <c r="L24" s="3">
        <f t="shared" si="5"/>
        <v>211.21467736940193</v>
      </c>
      <c r="M24" s="3">
        <f t="shared" si="6"/>
        <v>243.68716871395719</v>
      </c>
    </row>
    <row r="25" spans="1:13" x14ac:dyDescent="0.25">
      <c r="A25" t="s">
        <v>48</v>
      </c>
      <c r="B25">
        <v>200</v>
      </c>
      <c r="C25">
        <v>1200</v>
      </c>
      <c r="D25">
        <v>1935.6898219315181</v>
      </c>
      <c r="E25">
        <v>2891.2164087038695</v>
      </c>
      <c r="F25">
        <v>3600.6775214540216</v>
      </c>
      <c r="G25">
        <v>4147.8783063754599</v>
      </c>
      <c r="H25" s="3">
        <f t="shared" si="1"/>
        <v>11.764705882352942</v>
      </c>
      <c r="I25" s="3">
        <f t="shared" si="2"/>
        <v>70.588235294117652</v>
      </c>
      <c r="J25" s="3">
        <f t="shared" si="3"/>
        <v>113.86410717244223</v>
      </c>
      <c r="K25" s="3">
        <f t="shared" si="4"/>
        <v>170.0715534531688</v>
      </c>
      <c r="L25" s="3">
        <f t="shared" si="5"/>
        <v>211.80456008553068</v>
      </c>
      <c r="M25" s="3">
        <f t="shared" si="6"/>
        <v>243.99284155149763</v>
      </c>
    </row>
    <row r="26" spans="1:13" x14ac:dyDescent="0.25">
      <c r="A26" t="s">
        <v>49</v>
      </c>
      <c r="B26">
        <v>200</v>
      </c>
      <c r="C26">
        <v>1200</v>
      </c>
      <c r="D26">
        <v>1935.6898219315181</v>
      </c>
      <c r="E26">
        <v>2891.2164087038695</v>
      </c>
      <c r="F26">
        <v>3600.6775214540216</v>
      </c>
      <c r="G26">
        <v>4147.8783063754599</v>
      </c>
      <c r="H26" s="3">
        <f t="shared" si="1"/>
        <v>11.764705882352942</v>
      </c>
      <c r="I26" s="3">
        <f t="shared" si="2"/>
        <v>70.588235294117652</v>
      </c>
      <c r="J26" s="3">
        <f t="shared" si="3"/>
        <v>113.86410717244223</v>
      </c>
      <c r="K26" s="3">
        <f t="shared" si="4"/>
        <v>170.0715534531688</v>
      </c>
      <c r="L26" s="3">
        <f t="shared" si="5"/>
        <v>211.80456008553068</v>
      </c>
      <c r="M26" s="3">
        <f t="shared" si="6"/>
        <v>243.99284155149763</v>
      </c>
    </row>
    <row r="27" spans="1:13" x14ac:dyDescent="0.25">
      <c r="A27" t="s">
        <v>66</v>
      </c>
      <c r="B27">
        <v>200</v>
      </c>
      <c r="C27">
        <v>1200</v>
      </c>
      <c r="D27">
        <v>1935.6898219315181</v>
      </c>
      <c r="E27">
        <v>2891.2164087038695</v>
      </c>
      <c r="F27">
        <v>3600.6775214540216</v>
      </c>
      <c r="G27">
        <v>4147.8783063754599</v>
      </c>
      <c r="H27" s="3">
        <f t="shared" si="1"/>
        <v>11.764705882352942</v>
      </c>
      <c r="I27" s="3">
        <f t="shared" si="2"/>
        <v>70.588235294117652</v>
      </c>
      <c r="J27" s="3">
        <f t="shared" si="3"/>
        <v>113.86410717244223</v>
      </c>
      <c r="K27" s="3">
        <f t="shared" si="4"/>
        <v>170.0715534531688</v>
      </c>
      <c r="L27" s="3">
        <f t="shared" si="5"/>
        <v>211.80456008553068</v>
      </c>
      <c r="M27" s="3">
        <f t="shared" si="6"/>
        <v>243.99284155149763</v>
      </c>
    </row>
    <row r="28" spans="1:13" x14ac:dyDescent="0.25">
      <c r="A28" t="s">
        <v>67</v>
      </c>
      <c r="B28">
        <v>200</v>
      </c>
      <c r="C28">
        <v>1200</v>
      </c>
      <c r="D28">
        <v>1935.6898219315181</v>
      </c>
      <c r="E28">
        <v>2891.2164087038695</v>
      </c>
      <c r="F28">
        <v>3600.6775214540216</v>
      </c>
      <c r="G28">
        <v>4147.8783063754599</v>
      </c>
      <c r="H28" s="3">
        <f t="shared" si="1"/>
        <v>11.764705882352942</v>
      </c>
      <c r="I28" s="3">
        <f t="shared" si="2"/>
        <v>70.588235294117652</v>
      </c>
      <c r="J28" s="3">
        <f t="shared" si="3"/>
        <v>113.86410717244223</v>
      </c>
      <c r="K28" s="3">
        <f t="shared" si="4"/>
        <v>170.0715534531688</v>
      </c>
      <c r="L28" s="3">
        <f t="shared" si="5"/>
        <v>211.80456008553068</v>
      </c>
      <c r="M28" s="3">
        <f t="shared" si="6"/>
        <v>243.99284155149763</v>
      </c>
    </row>
    <row r="29" spans="1:13" x14ac:dyDescent="0.25">
      <c r="A29" t="s">
        <v>82</v>
      </c>
      <c r="B29">
        <v>200</v>
      </c>
      <c r="C29">
        <v>1200</v>
      </c>
      <c r="D29">
        <v>1935.6898219315181</v>
      </c>
      <c r="E29">
        <v>2891.2164087038695</v>
      </c>
      <c r="F29">
        <v>3600.6775214540216</v>
      </c>
      <c r="G29">
        <v>4147.8783063754599</v>
      </c>
      <c r="H29" s="3">
        <f t="shared" si="1"/>
        <v>11.764705882352942</v>
      </c>
      <c r="I29" s="3">
        <f t="shared" si="2"/>
        <v>70.588235294117652</v>
      </c>
      <c r="J29" s="3">
        <f t="shared" si="3"/>
        <v>113.86410717244223</v>
      </c>
      <c r="K29" s="3">
        <f t="shared" si="4"/>
        <v>170.0715534531688</v>
      </c>
      <c r="L29" s="3">
        <f t="shared" si="5"/>
        <v>211.80456008553068</v>
      </c>
      <c r="M29" s="3">
        <f t="shared" si="6"/>
        <v>243.99284155149763</v>
      </c>
    </row>
    <row r="30" spans="1:13" x14ac:dyDescent="0.25">
      <c r="A30" t="s">
        <v>83</v>
      </c>
      <c r="B30">
        <v>200</v>
      </c>
      <c r="C30">
        <v>1200</v>
      </c>
      <c r="D30">
        <v>1935.6898219315181</v>
      </c>
      <c r="E30">
        <v>2891.2164087038695</v>
      </c>
      <c r="F30">
        <v>3600.6775214540216</v>
      </c>
      <c r="G30">
        <v>4147.8783063754599</v>
      </c>
      <c r="H30" s="3">
        <f t="shared" si="1"/>
        <v>11.764705882352942</v>
      </c>
      <c r="I30" s="3">
        <f t="shared" si="2"/>
        <v>70.588235294117652</v>
      </c>
      <c r="J30" s="3">
        <f t="shared" si="3"/>
        <v>113.86410717244223</v>
      </c>
      <c r="K30" s="3">
        <f t="shared" si="4"/>
        <v>170.0715534531688</v>
      </c>
      <c r="L30" s="3">
        <f t="shared" si="5"/>
        <v>211.80456008553068</v>
      </c>
      <c r="M30" s="3">
        <f t="shared" si="6"/>
        <v>243.99284155149763</v>
      </c>
    </row>
    <row r="31" spans="1:13" x14ac:dyDescent="0.25">
      <c r="A31" t="s">
        <v>91</v>
      </c>
      <c r="B31">
        <v>200</v>
      </c>
      <c r="C31">
        <v>1200</v>
      </c>
      <c r="D31">
        <v>1935.6898219315181</v>
      </c>
      <c r="E31">
        <v>2891.2164087038695</v>
      </c>
      <c r="F31">
        <v>3600.6775214540216</v>
      </c>
      <c r="G31">
        <v>4147.8783063754599</v>
      </c>
      <c r="H31" s="3">
        <f t="shared" si="1"/>
        <v>11.764705882352942</v>
      </c>
      <c r="I31" s="3">
        <f t="shared" si="2"/>
        <v>70.588235294117652</v>
      </c>
      <c r="J31" s="3">
        <f t="shared" si="3"/>
        <v>113.86410717244223</v>
      </c>
      <c r="K31" s="3">
        <f t="shared" si="4"/>
        <v>170.0715534531688</v>
      </c>
      <c r="L31" s="3">
        <f t="shared" si="5"/>
        <v>211.80456008553068</v>
      </c>
      <c r="M31" s="3">
        <f t="shared" si="6"/>
        <v>243.99284155149763</v>
      </c>
    </row>
    <row r="32" spans="1:13" x14ac:dyDescent="0.25">
      <c r="A32" t="s">
        <v>92</v>
      </c>
      <c r="B32">
        <v>200</v>
      </c>
      <c r="C32">
        <v>1200</v>
      </c>
      <c r="D32">
        <v>1935.6898219315181</v>
      </c>
      <c r="E32">
        <v>2891.2164087038695</v>
      </c>
      <c r="F32">
        <v>3600.6775214540216</v>
      </c>
      <c r="G32">
        <v>4147.8783063754599</v>
      </c>
      <c r="H32" s="3">
        <f t="shared" si="1"/>
        <v>11.764705882352942</v>
      </c>
      <c r="I32" s="3">
        <f t="shared" si="2"/>
        <v>70.588235294117652</v>
      </c>
      <c r="J32" s="3">
        <f t="shared" si="3"/>
        <v>113.86410717244223</v>
      </c>
      <c r="K32" s="3">
        <f t="shared" si="4"/>
        <v>170.0715534531688</v>
      </c>
      <c r="L32" s="3">
        <f t="shared" si="5"/>
        <v>211.80456008553068</v>
      </c>
      <c r="M32" s="3">
        <f t="shared" si="6"/>
        <v>243.99284155149763</v>
      </c>
    </row>
    <row r="33" spans="1:13" x14ac:dyDescent="0.25">
      <c r="A33" t="s">
        <v>52</v>
      </c>
      <c r="B33">
        <v>200</v>
      </c>
      <c r="C33">
        <v>1200</v>
      </c>
      <c r="D33">
        <v>1935.6898219315181</v>
      </c>
      <c r="E33">
        <v>2891.2164087038695</v>
      </c>
      <c r="F33">
        <v>3602.6676558694016</v>
      </c>
      <c r="G33">
        <v>4149.8684407908404</v>
      </c>
      <c r="H33" s="3">
        <f t="shared" si="1"/>
        <v>11.764705882352942</v>
      </c>
      <c r="I33" s="3">
        <f t="shared" si="2"/>
        <v>70.588235294117652</v>
      </c>
      <c r="J33" s="3">
        <f t="shared" si="3"/>
        <v>113.86410717244223</v>
      </c>
      <c r="K33" s="3">
        <f t="shared" si="4"/>
        <v>170.0715534531688</v>
      </c>
      <c r="L33" s="3">
        <f t="shared" si="5"/>
        <v>211.92162681584716</v>
      </c>
      <c r="M33" s="3">
        <f t="shared" si="6"/>
        <v>244.10990828181414</v>
      </c>
    </row>
    <row r="34" spans="1:13" x14ac:dyDescent="0.25">
      <c r="A34" t="s">
        <v>53</v>
      </c>
      <c r="B34">
        <v>200</v>
      </c>
      <c r="C34">
        <v>1200</v>
      </c>
      <c r="D34">
        <v>1935.6898219315181</v>
      </c>
      <c r="E34">
        <v>2891.2164087038695</v>
      </c>
      <c r="F34">
        <v>3602.6676558694016</v>
      </c>
      <c r="G34">
        <v>4149.8684407908404</v>
      </c>
      <c r="H34" s="3">
        <f t="shared" si="1"/>
        <v>11.764705882352942</v>
      </c>
      <c r="I34" s="3">
        <f t="shared" si="2"/>
        <v>70.588235294117652</v>
      </c>
      <c r="J34" s="3">
        <f t="shared" si="3"/>
        <v>113.86410717244223</v>
      </c>
      <c r="K34" s="3">
        <f t="shared" si="4"/>
        <v>170.0715534531688</v>
      </c>
      <c r="L34" s="3">
        <f t="shared" si="5"/>
        <v>211.92162681584716</v>
      </c>
      <c r="M34" s="3">
        <f t="shared" si="6"/>
        <v>244.10990828181414</v>
      </c>
    </row>
    <row r="35" spans="1:13" x14ac:dyDescent="0.25">
      <c r="A35" t="s">
        <v>70</v>
      </c>
      <c r="B35">
        <v>200</v>
      </c>
      <c r="C35">
        <v>1200</v>
      </c>
      <c r="D35">
        <v>1935.6898219315181</v>
      </c>
      <c r="E35">
        <v>2891.2164087038695</v>
      </c>
      <c r="F35">
        <v>3602.6676558694016</v>
      </c>
      <c r="G35">
        <v>4149.8684407908404</v>
      </c>
      <c r="H35" s="3">
        <f t="shared" si="1"/>
        <v>11.764705882352942</v>
      </c>
      <c r="I35" s="3">
        <f t="shared" si="2"/>
        <v>70.588235294117652</v>
      </c>
      <c r="J35" s="3">
        <f t="shared" si="3"/>
        <v>113.86410717244223</v>
      </c>
      <c r="K35" s="3">
        <f t="shared" si="4"/>
        <v>170.0715534531688</v>
      </c>
      <c r="L35" s="3">
        <f t="shared" si="5"/>
        <v>211.92162681584716</v>
      </c>
      <c r="M35" s="3">
        <f t="shared" si="6"/>
        <v>244.10990828181414</v>
      </c>
    </row>
    <row r="36" spans="1:13" x14ac:dyDescent="0.25">
      <c r="A36" t="s">
        <v>71</v>
      </c>
      <c r="B36">
        <v>200</v>
      </c>
      <c r="C36">
        <v>1200</v>
      </c>
      <c r="D36">
        <v>1935.6898219315181</v>
      </c>
      <c r="E36">
        <v>2891.2164087038695</v>
      </c>
      <c r="F36">
        <v>3602.6676558694016</v>
      </c>
      <c r="G36">
        <v>4149.8684407908404</v>
      </c>
      <c r="H36" s="3">
        <f t="shared" si="1"/>
        <v>11.764705882352942</v>
      </c>
      <c r="I36" s="3">
        <f t="shared" si="2"/>
        <v>70.588235294117652</v>
      </c>
      <c r="J36" s="3">
        <f t="shared" si="3"/>
        <v>113.86410717244223</v>
      </c>
      <c r="K36" s="3">
        <f t="shared" si="4"/>
        <v>170.0715534531688</v>
      </c>
      <c r="L36" s="3">
        <f t="shared" si="5"/>
        <v>211.92162681584716</v>
      </c>
      <c r="M36" s="3">
        <f t="shared" si="6"/>
        <v>244.10990828181414</v>
      </c>
    </row>
    <row r="37" spans="1:13" x14ac:dyDescent="0.25">
      <c r="A37" t="s">
        <v>81</v>
      </c>
      <c r="B37">
        <v>200</v>
      </c>
      <c r="C37">
        <v>1200</v>
      </c>
      <c r="D37">
        <v>1935.6898219315181</v>
      </c>
      <c r="E37">
        <v>2891.2164087038695</v>
      </c>
      <c r="F37">
        <v>3602.6676558694016</v>
      </c>
      <c r="G37">
        <v>4149.8684407908404</v>
      </c>
      <c r="H37" s="3">
        <f t="shared" si="1"/>
        <v>11.764705882352942</v>
      </c>
      <c r="I37" s="3">
        <f t="shared" si="2"/>
        <v>70.588235294117652</v>
      </c>
      <c r="J37" s="3">
        <f t="shared" si="3"/>
        <v>113.86410717244223</v>
      </c>
      <c r="K37" s="3">
        <f t="shared" si="4"/>
        <v>170.0715534531688</v>
      </c>
      <c r="L37" s="3">
        <f t="shared" si="5"/>
        <v>211.92162681584716</v>
      </c>
      <c r="M37" s="3">
        <f t="shared" si="6"/>
        <v>244.10990828181414</v>
      </c>
    </row>
    <row r="38" spans="1:13" x14ac:dyDescent="0.25">
      <c r="A38" t="s">
        <v>102</v>
      </c>
      <c r="B38">
        <v>200</v>
      </c>
      <c r="C38">
        <v>1200</v>
      </c>
      <c r="D38">
        <v>1935.6898219315181</v>
      </c>
      <c r="E38">
        <v>2891.2164087038695</v>
      </c>
      <c r="F38">
        <v>3602.6676558694016</v>
      </c>
      <c r="G38">
        <v>4149.8684407908404</v>
      </c>
      <c r="H38" s="3">
        <f t="shared" si="1"/>
        <v>11.764705882352942</v>
      </c>
      <c r="I38" s="3">
        <f t="shared" si="2"/>
        <v>70.588235294117652</v>
      </c>
      <c r="J38" s="3">
        <f t="shared" si="3"/>
        <v>113.86410717244223</v>
      </c>
      <c r="K38" s="3">
        <f t="shared" si="4"/>
        <v>170.0715534531688</v>
      </c>
      <c r="L38" s="3">
        <f t="shared" si="5"/>
        <v>211.92162681584716</v>
      </c>
      <c r="M38" s="3">
        <f t="shared" si="6"/>
        <v>244.10990828181414</v>
      </c>
    </row>
    <row r="39" spans="1:13" x14ac:dyDescent="0.25">
      <c r="A39" t="s">
        <v>109</v>
      </c>
      <c r="B39">
        <v>200</v>
      </c>
      <c r="C39">
        <v>1200</v>
      </c>
      <c r="D39">
        <v>1935.6898219315181</v>
      </c>
      <c r="E39">
        <v>2891.2164087038695</v>
      </c>
      <c r="F39">
        <v>3602.6676558694016</v>
      </c>
      <c r="G39">
        <v>4149.8684407908404</v>
      </c>
      <c r="H39" s="3">
        <f t="shared" si="1"/>
        <v>11.764705882352942</v>
      </c>
      <c r="I39" s="3">
        <f t="shared" si="2"/>
        <v>70.588235294117652</v>
      </c>
      <c r="J39" s="3">
        <f t="shared" si="3"/>
        <v>113.86410717244223</v>
      </c>
      <c r="K39" s="3">
        <f t="shared" si="4"/>
        <v>170.0715534531688</v>
      </c>
      <c r="L39" s="3">
        <f t="shared" si="5"/>
        <v>211.92162681584716</v>
      </c>
      <c r="M39" s="3">
        <f t="shared" si="6"/>
        <v>244.10990828181414</v>
      </c>
    </row>
    <row r="40" spans="1:13" x14ac:dyDescent="0.25">
      <c r="A40" t="s">
        <v>51</v>
      </c>
      <c r="B40">
        <v>200</v>
      </c>
      <c r="C40">
        <v>1200</v>
      </c>
      <c r="D40">
        <v>1935.6898219315181</v>
      </c>
      <c r="E40">
        <v>2891.2164087038695</v>
      </c>
      <c r="F40">
        <v>3604.1642545088575</v>
      </c>
      <c r="G40">
        <v>4151.3650394302949</v>
      </c>
      <c r="H40" s="3">
        <f t="shared" si="1"/>
        <v>11.764705882352942</v>
      </c>
      <c r="I40" s="3">
        <f t="shared" si="2"/>
        <v>70.588235294117652</v>
      </c>
      <c r="J40" s="3">
        <f t="shared" si="3"/>
        <v>113.86410717244223</v>
      </c>
      <c r="K40" s="3">
        <f t="shared" si="4"/>
        <v>170.0715534531688</v>
      </c>
      <c r="L40" s="3">
        <f t="shared" si="5"/>
        <v>212.0096620299328</v>
      </c>
      <c r="M40" s="3">
        <f t="shared" si="6"/>
        <v>244.19794349589969</v>
      </c>
    </row>
    <row r="41" spans="1:13" x14ac:dyDescent="0.25">
      <c r="A41" t="s">
        <v>68</v>
      </c>
      <c r="B41">
        <v>200</v>
      </c>
      <c r="C41">
        <v>1200</v>
      </c>
      <c r="D41">
        <v>1935.6898219315181</v>
      </c>
      <c r="E41">
        <v>2891.2164087038695</v>
      </c>
      <c r="F41">
        <v>3604.1642545088575</v>
      </c>
      <c r="G41">
        <v>4151.3650394302949</v>
      </c>
      <c r="H41" s="3">
        <f t="shared" si="1"/>
        <v>11.764705882352942</v>
      </c>
      <c r="I41" s="3">
        <f t="shared" si="2"/>
        <v>70.588235294117652</v>
      </c>
      <c r="J41" s="3">
        <f t="shared" si="3"/>
        <v>113.86410717244223</v>
      </c>
      <c r="K41" s="3">
        <f t="shared" si="4"/>
        <v>170.0715534531688</v>
      </c>
      <c r="L41" s="3">
        <f t="shared" si="5"/>
        <v>212.0096620299328</v>
      </c>
      <c r="M41" s="3">
        <f t="shared" si="6"/>
        <v>244.19794349589969</v>
      </c>
    </row>
    <row r="42" spans="1:13" x14ac:dyDescent="0.25">
      <c r="A42" t="s">
        <v>80</v>
      </c>
      <c r="B42">
        <v>200</v>
      </c>
      <c r="C42">
        <v>1200</v>
      </c>
      <c r="D42">
        <v>1935.6898219315181</v>
      </c>
      <c r="E42">
        <v>2891.2164087038695</v>
      </c>
      <c r="F42">
        <v>3604.1642545088575</v>
      </c>
      <c r="G42">
        <v>4151.3650394302949</v>
      </c>
      <c r="H42" s="3">
        <f t="shared" si="1"/>
        <v>11.764705882352942</v>
      </c>
      <c r="I42" s="3">
        <f t="shared" si="2"/>
        <v>70.588235294117652</v>
      </c>
      <c r="J42" s="3">
        <f t="shared" si="3"/>
        <v>113.86410717244223</v>
      </c>
      <c r="K42" s="3">
        <f t="shared" si="4"/>
        <v>170.0715534531688</v>
      </c>
      <c r="L42" s="3">
        <f t="shared" si="5"/>
        <v>212.0096620299328</v>
      </c>
      <c r="M42" s="3">
        <f t="shared" si="6"/>
        <v>244.19794349589969</v>
      </c>
    </row>
    <row r="43" spans="1:13" x14ac:dyDescent="0.25">
      <c r="A43" t="s">
        <v>103</v>
      </c>
      <c r="B43">
        <v>200</v>
      </c>
      <c r="C43">
        <v>1200</v>
      </c>
      <c r="D43">
        <v>1935.6898219315181</v>
      </c>
      <c r="E43">
        <v>2891.2164087038695</v>
      </c>
      <c r="F43">
        <v>3604.1642545088575</v>
      </c>
      <c r="G43">
        <v>4151.3650394302949</v>
      </c>
      <c r="H43" s="3">
        <f t="shared" si="1"/>
        <v>11.764705882352942</v>
      </c>
      <c r="I43" s="3">
        <f t="shared" si="2"/>
        <v>70.588235294117652</v>
      </c>
      <c r="J43" s="3">
        <f t="shared" si="3"/>
        <v>113.86410717244223</v>
      </c>
      <c r="K43" s="3">
        <f t="shared" si="4"/>
        <v>170.0715534531688</v>
      </c>
      <c r="L43" s="3">
        <f t="shared" si="5"/>
        <v>212.0096620299328</v>
      </c>
      <c r="M43" s="3">
        <f t="shared" si="6"/>
        <v>244.19794349589969</v>
      </c>
    </row>
    <row r="44" spans="1:13" x14ac:dyDescent="0.25">
      <c r="A44" t="s">
        <v>50</v>
      </c>
      <c r="B44">
        <v>200</v>
      </c>
      <c r="C44">
        <v>1200</v>
      </c>
      <c r="D44">
        <v>1935.6898219315181</v>
      </c>
      <c r="E44">
        <v>2891.2164087038695</v>
      </c>
      <c r="F44">
        <v>3590.6495152798329</v>
      </c>
      <c r="G44">
        <v>4137.8503002012712</v>
      </c>
      <c r="H44" s="3">
        <f t="shared" si="1"/>
        <v>11.764705882352942</v>
      </c>
      <c r="I44" s="3">
        <f t="shared" si="2"/>
        <v>70.588235294117652</v>
      </c>
      <c r="J44" s="3">
        <f t="shared" si="3"/>
        <v>113.86410717244223</v>
      </c>
      <c r="K44" s="3">
        <f t="shared" si="4"/>
        <v>170.0715534531688</v>
      </c>
      <c r="L44" s="3">
        <f t="shared" si="5"/>
        <v>211.21467736940193</v>
      </c>
      <c r="M44" s="3">
        <f t="shared" si="6"/>
        <v>243.40295883536891</v>
      </c>
    </row>
    <row r="45" spans="1:13" x14ac:dyDescent="0.25">
      <c r="A45" t="s">
        <v>69</v>
      </c>
      <c r="B45">
        <v>200</v>
      </c>
      <c r="C45">
        <v>1200</v>
      </c>
      <c r="D45">
        <v>1935.6898219315181</v>
      </c>
      <c r="E45">
        <v>2891.2164087038695</v>
      </c>
      <c r="F45">
        <v>3590.6495152798329</v>
      </c>
      <c r="G45">
        <v>4137.8503002012712</v>
      </c>
      <c r="H45" s="3">
        <f t="shared" si="1"/>
        <v>11.764705882352942</v>
      </c>
      <c r="I45" s="3">
        <f t="shared" si="2"/>
        <v>70.588235294117652</v>
      </c>
      <c r="J45" s="3">
        <f t="shared" si="3"/>
        <v>113.86410717244223</v>
      </c>
      <c r="K45" s="3">
        <f t="shared" si="4"/>
        <v>170.0715534531688</v>
      </c>
      <c r="L45" s="3">
        <f t="shared" si="5"/>
        <v>211.21467736940193</v>
      </c>
      <c r="M45" s="3">
        <f t="shared" si="6"/>
        <v>243.40295883536891</v>
      </c>
    </row>
    <row r="46" spans="1:13" x14ac:dyDescent="0.25">
      <c r="A46" t="s">
        <v>90</v>
      </c>
      <c r="B46">
        <v>200</v>
      </c>
      <c r="C46">
        <v>1200</v>
      </c>
      <c r="D46">
        <v>1935.6898219315181</v>
      </c>
      <c r="E46">
        <v>2891.2164087038695</v>
      </c>
      <c r="F46">
        <v>3590.6495152798329</v>
      </c>
      <c r="G46">
        <v>4137.8503002012712</v>
      </c>
      <c r="H46" s="3">
        <f t="shared" si="1"/>
        <v>11.764705882352942</v>
      </c>
      <c r="I46" s="3">
        <f t="shared" si="2"/>
        <v>70.588235294117652</v>
      </c>
      <c r="J46" s="3">
        <f t="shared" si="3"/>
        <v>113.86410717244223</v>
      </c>
      <c r="K46" s="3">
        <f t="shared" si="4"/>
        <v>170.0715534531688</v>
      </c>
      <c r="L46" s="3">
        <f t="shared" si="5"/>
        <v>211.21467736940193</v>
      </c>
      <c r="M46" s="3">
        <f t="shared" si="6"/>
        <v>243.40295883536891</v>
      </c>
    </row>
    <row r="47" spans="1:13" x14ac:dyDescent="0.25">
      <c r="A47" t="s">
        <v>104</v>
      </c>
      <c r="B47">
        <v>200</v>
      </c>
      <c r="C47">
        <v>1200</v>
      </c>
      <c r="D47">
        <v>1935.6898219315181</v>
      </c>
      <c r="E47">
        <v>2891.2164087038695</v>
      </c>
      <c r="F47">
        <v>3590.6495152798329</v>
      </c>
      <c r="G47">
        <v>4137.8503002012712</v>
      </c>
      <c r="H47" s="3">
        <f t="shared" si="1"/>
        <v>11.764705882352942</v>
      </c>
      <c r="I47" s="3">
        <f t="shared" si="2"/>
        <v>70.588235294117652</v>
      </c>
      <c r="J47" s="3">
        <f t="shared" si="3"/>
        <v>113.86410717244223</v>
      </c>
      <c r="K47" s="3">
        <f t="shared" si="4"/>
        <v>170.0715534531688</v>
      </c>
      <c r="L47" s="3">
        <f t="shared" si="5"/>
        <v>211.21467736940193</v>
      </c>
      <c r="M47" s="3">
        <f t="shared" si="6"/>
        <v>243.40295883536891</v>
      </c>
    </row>
    <row r="48" spans="1:13" x14ac:dyDescent="0.25">
      <c r="A48" t="s">
        <v>110</v>
      </c>
      <c r="B48">
        <v>200</v>
      </c>
      <c r="C48">
        <v>1200</v>
      </c>
      <c r="D48">
        <v>1935.6898219315181</v>
      </c>
      <c r="E48">
        <v>2891.2164087038695</v>
      </c>
      <c r="F48">
        <v>3590.6495152798329</v>
      </c>
      <c r="G48">
        <v>4137.8503002012712</v>
      </c>
      <c r="H48" s="3">
        <f t="shared" si="1"/>
        <v>11.764705882352942</v>
      </c>
      <c r="I48" s="3">
        <f t="shared" si="2"/>
        <v>70.588235294117652</v>
      </c>
      <c r="J48" s="3">
        <f t="shared" si="3"/>
        <v>113.86410717244223</v>
      </c>
      <c r="K48" s="3">
        <f t="shared" si="4"/>
        <v>170.0715534531688</v>
      </c>
      <c r="L48" s="3">
        <f t="shared" si="5"/>
        <v>211.21467736940193</v>
      </c>
      <c r="M48" s="3">
        <f t="shared" si="6"/>
        <v>243.40295883536891</v>
      </c>
    </row>
    <row r="49" spans="1:13" x14ac:dyDescent="0.25">
      <c r="A49" t="s">
        <v>44</v>
      </c>
      <c r="B49">
        <v>200</v>
      </c>
      <c r="C49">
        <v>1200</v>
      </c>
      <c r="D49">
        <v>1935.6898219315181</v>
      </c>
      <c r="E49">
        <v>2891.2164087038695</v>
      </c>
      <c r="F49">
        <v>3600.6775214540216</v>
      </c>
      <c r="G49">
        <v>4152.3853133177863</v>
      </c>
      <c r="H49" s="3">
        <f t="shared" si="1"/>
        <v>11.764705882352942</v>
      </c>
      <c r="I49" s="3">
        <f t="shared" si="2"/>
        <v>70.588235294117652</v>
      </c>
      <c r="J49" s="3">
        <f t="shared" si="3"/>
        <v>113.86410717244223</v>
      </c>
      <c r="K49" s="3">
        <f t="shared" si="4"/>
        <v>170.0715534531688</v>
      </c>
      <c r="L49" s="3">
        <f t="shared" si="5"/>
        <v>211.80456008553068</v>
      </c>
      <c r="M49" s="3">
        <f t="shared" si="6"/>
        <v>244.25795960692861</v>
      </c>
    </row>
    <row r="50" spans="1:13" x14ac:dyDescent="0.25">
      <c r="A50" t="s">
        <v>45</v>
      </c>
      <c r="B50">
        <v>200</v>
      </c>
      <c r="C50">
        <v>1200</v>
      </c>
      <c r="D50">
        <v>1935.6898219315181</v>
      </c>
      <c r="E50">
        <v>2891.2164087038695</v>
      </c>
      <c r="F50">
        <v>3600.6775214540216</v>
      </c>
      <c r="G50">
        <v>4152.3853133177863</v>
      </c>
      <c r="H50" s="3">
        <f t="shared" si="1"/>
        <v>11.764705882352942</v>
      </c>
      <c r="I50" s="3">
        <f t="shared" si="2"/>
        <v>70.588235294117652</v>
      </c>
      <c r="J50" s="3">
        <f t="shared" si="3"/>
        <v>113.86410717244223</v>
      </c>
      <c r="K50" s="3">
        <f t="shared" si="4"/>
        <v>170.0715534531688</v>
      </c>
      <c r="L50" s="3">
        <f t="shared" si="5"/>
        <v>211.80456008553068</v>
      </c>
      <c r="M50" s="3">
        <f t="shared" si="6"/>
        <v>244.25795960692861</v>
      </c>
    </row>
    <row r="51" spans="1:13" x14ac:dyDescent="0.25">
      <c r="A51" t="s">
        <v>62</v>
      </c>
      <c r="B51">
        <v>200</v>
      </c>
      <c r="C51">
        <v>1200</v>
      </c>
      <c r="D51">
        <v>1935.6898219315181</v>
      </c>
      <c r="E51">
        <v>2891.2164087038695</v>
      </c>
      <c r="F51">
        <v>3600.6775214540216</v>
      </c>
      <c r="G51">
        <v>4152.3853133177863</v>
      </c>
      <c r="H51" s="3">
        <f t="shared" si="1"/>
        <v>11.764705882352942</v>
      </c>
      <c r="I51" s="3">
        <f t="shared" si="2"/>
        <v>70.588235294117652</v>
      </c>
      <c r="J51" s="3">
        <f t="shared" si="3"/>
        <v>113.86410717244223</v>
      </c>
      <c r="K51" s="3">
        <f t="shared" si="4"/>
        <v>170.0715534531688</v>
      </c>
      <c r="L51" s="3">
        <f t="shared" si="5"/>
        <v>211.80456008553068</v>
      </c>
      <c r="M51" s="3">
        <f t="shared" si="6"/>
        <v>244.25795960692861</v>
      </c>
    </row>
    <row r="52" spans="1:13" x14ac:dyDescent="0.25">
      <c r="A52" t="s">
        <v>63</v>
      </c>
      <c r="B52">
        <v>200</v>
      </c>
      <c r="C52">
        <v>1200</v>
      </c>
      <c r="D52">
        <v>1935.6898219315181</v>
      </c>
      <c r="E52">
        <v>2891.2164087038695</v>
      </c>
      <c r="F52">
        <v>3600.6775214540216</v>
      </c>
      <c r="G52">
        <v>4152.3853133177863</v>
      </c>
      <c r="H52" s="3">
        <f t="shared" si="1"/>
        <v>11.764705882352942</v>
      </c>
      <c r="I52" s="3">
        <f t="shared" si="2"/>
        <v>70.588235294117652</v>
      </c>
      <c r="J52" s="3">
        <f t="shared" si="3"/>
        <v>113.86410717244223</v>
      </c>
      <c r="K52" s="3">
        <f t="shared" si="4"/>
        <v>170.0715534531688</v>
      </c>
      <c r="L52" s="3">
        <f t="shared" si="5"/>
        <v>211.80456008553068</v>
      </c>
      <c r="M52" s="3">
        <f t="shared" si="6"/>
        <v>244.25795960692861</v>
      </c>
    </row>
    <row r="53" spans="1:13" x14ac:dyDescent="0.25">
      <c r="A53" t="s">
        <v>78</v>
      </c>
      <c r="B53">
        <v>200</v>
      </c>
      <c r="C53">
        <v>1200</v>
      </c>
      <c r="D53">
        <v>1935.6898219315181</v>
      </c>
      <c r="E53">
        <v>2891.2164087038695</v>
      </c>
      <c r="F53">
        <v>3600.6775214540216</v>
      </c>
      <c r="G53">
        <v>4152.3853133177863</v>
      </c>
      <c r="H53" s="3">
        <f t="shared" si="1"/>
        <v>11.764705882352942</v>
      </c>
      <c r="I53" s="3">
        <f t="shared" si="2"/>
        <v>70.588235294117652</v>
      </c>
      <c r="J53" s="3">
        <f t="shared" si="3"/>
        <v>113.86410717244223</v>
      </c>
      <c r="K53" s="3">
        <f t="shared" si="4"/>
        <v>170.0715534531688</v>
      </c>
      <c r="L53" s="3">
        <f t="shared" si="5"/>
        <v>211.80456008553068</v>
      </c>
      <c r="M53" s="3">
        <f t="shared" si="6"/>
        <v>244.25795960692861</v>
      </c>
    </row>
    <row r="54" spans="1:13" x14ac:dyDescent="0.25">
      <c r="A54" t="s">
        <v>85</v>
      </c>
      <c r="B54">
        <v>200</v>
      </c>
      <c r="C54">
        <v>1200</v>
      </c>
      <c r="D54">
        <v>1935.6898219315181</v>
      </c>
      <c r="E54">
        <v>2891.2164087038695</v>
      </c>
      <c r="F54">
        <v>3600.6775214540216</v>
      </c>
      <c r="G54">
        <v>4152.3853133177863</v>
      </c>
      <c r="H54" s="3">
        <f t="shared" si="1"/>
        <v>11.764705882352942</v>
      </c>
      <c r="I54" s="3">
        <f t="shared" si="2"/>
        <v>70.588235294117652</v>
      </c>
      <c r="J54" s="3">
        <f t="shared" si="3"/>
        <v>113.86410717244223</v>
      </c>
      <c r="K54" s="3">
        <f t="shared" si="4"/>
        <v>170.0715534531688</v>
      </c>
      <c r="L54" s="3">
        <f t="shared" si="5"/>
        <v>211.80456008553068</v>
      </c>
      <c r="M54" s="3">
        <f t="shared" si="6"/>
        <v>244.25795960692861</v>
      </c>
    </row>
    <row r="55" spans="1:13" x14ac:dyDescent="0.25">
      <c r="A55" t="s">
        <v>86</v>
      </c>
      <c r="B55">
        <v>200</v>
      </c>
      <c r="C55">
        <v>1200</v>
      </c>
      <c r="D55">
        <v>1935.6898219315181</v>
      </c>
      <c r="E55">
        <v>2891.2164087038695</v>
      </c>
      <c r="F55">
        <v>3600.6775214540216</v>
      </c>
      <c r="G55">
        <v>4152.3853133177863</v>
      </c>
      <c r="H55" s="3">
        <f t="shared" si="1"/>
        <v>11.764705882352942</v>
      </c>
      <c r="I55" s="3">
        <f t="shared" si="2"/>
        <v>70.588235294117652</v>
      </c>
      <c r="J55" s="3">
        <f t="shared" si="3"/>
        <v>113.86410717244223</v>
      </c>
      <c r="K55" s="3">
        <f t="shared" si="4"/>
        <v>170.0715534531688</v>
      </c>
      <c r="L55" s="3">
        <f t="shared" si="5"/>
        <v>211.80456008553068</v>
      </c>
      <c r="M55" s="3">
        <f t="shared" si="6"/>
        <v>244.25795960692861</v>
      </c>
    </row>
    <row r="56" spans="1:13" x14ac:dyDescent="0.25">
      <c r="A56" t="s">
        <v>42</v>
      </c>
      <c r="B56">
        <v>200</v>
      </c>
      <c r="C56">
        <v>1200</v>
      </c>
      <c r="D56">
        <v>1935.6898219315181</v>
      </c>
      <c r="E56">
        <v>2891.2164087038695</v>
      </c>
      <c r="F56">
        <v>3602.6676558694016</v>
      </c>
      <c r="G56">
        <v>4154.3754477331668</v>
      </c>
      <c r="H56" s="3">
        <f t="shared" si="1"/>
        <v>11.764705882352942</v>
      </c>
      <c r="I56" s="3">
        <f t="shared" si="2"/>
        <v>70.588235294117652</v>
      </c>
      <c r="J56" s="3">
        <f t="shared" si="3"/>
        <v>113.86410717244223</v>
      </c>
      <c r="K56" s="3">
        <f t="shared" si="4"/>
        <v>170.0715534531688</v>
      </c>
      <c r="L56" s="3">
        <f t="shared" si="5"/>
        <v>211.92162681584716</v>
      </c>
      <c r="M56" s="3">
        <f t="shared" si="6"/>
        <v>244.37502633724512</v>
      </c>
    </row>
    <row r="57" spans="1:13" x14ac:dyDescent="0.25">
      <c r="A57" t="s">
        <v>43</v>
      </c>
      <c r="B57">
        <v>200</v>
      </c>
      <c r="C57">
        <v>1200</v>
      </c>
      <c r="D57">
        <v>1935.6898219315181</v>
      </c>
      <c r="E57">
        <v>2891.2164087038695</v>
      </c>
      <c r="F57">
        <v>3602.6676558694016</v>
      </c>
      <c r="G57">
        <v>4154.3754477331668</v>
      </c>
      <c r="H57" s="3">
        <f t="shared" si="1"/>
        <v>11.764705882352942</v>
      </c>
      <c r="I57" s="3">
        <f t="shared" si="2"/>
        <v>70.588235294117652</v>
      </c>
      <c r="J57" s="3">
        <f t="shared" si="3"/>
        <v>113.86410717244223</v>
      </c>
      <c r="K57" s="3">
        <f t="shared" si="4"/>
        <v>170.0715534531688</v>
      </c>
      <c r="L57" s="3">
        <f t="shared" si="5"/>
        <v>211.92162681584716</v>
      </c>
      <c r="M57" s="3">
        <f t="shared" si="6"/>
        <v>244.37502633724512</v>
      </c>
    </row>
    <row r="58" spans="1:13" x14ac:dyDescent="0.25">
      <c r="A58" t="s">
        <v>60</v>
      </c>
      <c r="B58">
        <v>200</v>
      </c>
      <c r="C58">
        <v>1200</v>
      </c>
      <c r="D58">
        <v>1935.6898219315181</v>
      </c>
      <c r="E58">
        <v>2891.2164087038695</v>
      </c>
      <c r="F58">
        <v>3602.6676558694016</v>
      </c>
      <c r="G58">
        <v>4154.3754477331668</v>
      </c>
      <c r="H58" s="3">
        <f t="shared" si="1"/>
        <v>11.764705882352942</v>
      </c>
      <c r="I58" s="3">
        <f t="shared" si="2"/>
        <v>70.588235294117652</v>
      </c>
      <c r="J58" s="3">
        <f t="shared" si="3"/>
        <v>113.86410717244223</v>
      </c>
      <c r="K58" s="3">
        <f t="shared" si="4"/>
        <v>170.0715534531688</v>
      </c>
      <c r="L58" s="3">
        <f t="shared" si="5"/>
        <v>211.92162681584716</v>
      </c>
      <c r="M58" s="3">
        <f t="shared" si="6"/>
        <v>244.37502633724512</v>
      </c>
    </row>
    <row r="59" spans="1:13" x14ac:dyDescent="0.25">
      <c r="A59" t="s">
        <v>61</v>
      </c>
      <c r="B59">
        <v>200</v>
      </c>
      <c r="C59">
        <v>1200</v>
      </c>
      <c r="D59">
        <v>1935.6898219315181</v>
      </c>
      <c r="E59">
        <v>2891.2164087038695</v>
      </c>
      <c r="F59">
        <v>3602.6676558694016</v>
      </c>
      <c r="G59">
        <v>4154.3754477331668</v>
      </c>
      <c r="H59" s="3">
        <f t="shared" si="1"/>
        <v>11.764705882352942</v>
      </c>
      <c r="I59" s="3">
        <f t="shared" si="2"/>
        <v>70.588235294117652</v>
      </c>
      <c r="J59" s="3">
        <f t="shared" si="3"/>
        <v>113.86410717244223</v>
      </c>
      <c r="K59" s="3">
        <f t="shared" si="4"/>
        <v>170.0715534531688</v>
      </c>
      <c r="L59" s="3">
        <f t="shared" si="5"/>
        <v>211.92162681584716</v>
      </c>
      <c r="M59" s="3">
        <f t="shared" si="6"/>
        <v>244.37502633724512</v>
      </c>
    </row>
    <row r="60" spans="1:13" x14ac:dyDescent="0.25">
      <c r="A60" t="s">
        <v>89</v>
      </c>
      <c r="B60">
        <v>200</v>
      </c>
      <c r="C60">
        <v>1200</v>
      </c>
      <c r="D60">
        <v>1935.6898219315181</v>
      </c>
      <c r="E60">
        <v>2891.2164087038695</v>
      </c>
      <c r="F60">
        <v>3602.6676558694016</v>
      </c>
      <c r="G60">
        <v>4154.3754477331668</v>
      </c>
      <c r="H60" s="3">
        <f t="shared" si="1"/>
        <v>11.764705882352942</v>
      </c>
      <c r="I60" s="3">
        <f t="shared" si="2"/>
        <v>70.588235294117652</v>
      </c>
      <c r="J60" s="3">
        <f t="shared" si="3"/>
        <v>113.86410717244223</v>
      </c>
      <c r="K60" s="3">
        <f t="shared" si="4"/>
        <v>170.0715534531688</v>
      </c>
      <c r="L60" s="3">
        <f t="shared" si="5"/>
        <v>211.92162681584716</v>
      </c>
      <c r="M60" s="3">
        <f t="shared" si="6"/>
        <v>244.37502633724512</v>
      </c>
    </row>
    <row r="61" spans="1:13" x14ac:dyDescent="0.25">
      <c r="A61" t="s">
        <v>101</v>
      </c>
      <c r="B61">
        <v>200</v>
      </c>
      <c r="C61">
        <v>1200</v>
      </c>
      <c r="D61">
        <v>1935.6898219315181</v>
      </c>
      <c r="E61">
        <v>2891.2164087038695</v>
      </c>
      <c r="F61">
        <v>3602.6676558694016</v>
      </c>
      <c r="G61">
        <v>4154.3754477331668</v>
      </c>
      <c r="H61" s="3">
        <f t="shared" si="1"/>
        <v>11.764705882352942</v>
      </c>
      <c r="I61" s="3">
        <f t="shared" si="2"/>
        <v>70.588235294117652</v>
      </c>
      <c r="J61" s="3">
        <f t="shared" si="3"/>
        <v>113.86410717244223</v>
      </c>
      <c r="K61" s="3">
        <f t="shared" si="4"/>
        <v>170.0715534531688</v>
      </c>
      <c r="L61" s="3">
        <f t="shared" si="5"/>
        <v>211.92162681584716</v>
      </c>
      <c r="M61" s="3">
        <f t="shared" si="6"/>
        <v>244.37502633724512</v>
      </c>
    </row>
    <row r="62" spans="1:13" x14ac:dyDescent="0.25">
      <c r="A62" t="s">
        <v>108</v>
      </c>
      <c r="B62">
        <v>200</v>
      </c>
      <c r="C62">
        <v>1200</v>
      </c>
      <c r="D62">
        <v>1935.6898219315181</v>
      </c>
      <c r="E62">
        <v>2891.2164087038695</v>
      </c>
      <c r="F62">
        <v>3602.6676558694016</v>
      </c>
      <c r="G62">
        <v>4154.3754477331668</v>
      </c>
      <c r="H62" s="3">
        <f t="shared" si="1"/>
        <v>11.764705882352942</v>
      </c>
      <c r="I62" s="3">
        <f t="shared" si="2"/>
        <v>70.588235294117652</v>
      </c>
      <c r="J62" s="3">
        <f t="shared" si="3"/>
        <v>113.86410717244223</v>
      </c>
      <c r="K62" s="3">
        <f t="shared" si="4"/>
        <v>170.0715534531688</v>
      </c>
      <c r="L62" s="3">
        <f t="shared" si="5"/>
        <v>211.92162681584716</v>
      </c>
      <c r="M62" s="3">
        <f t="shared" si="6"/>
        <v>244.37502633724512</v>
      </c>
    </row>
    <row r="63" spans="1:13" x14ac:dyDescent="0.25">
      <c r="A63" t="s">
        <v>47</v>
      </c>
      <c r="B63">
        <v>200</v>
      </c>
      <c r="C63">
        <v>1200</v>
      </c>
      <c r="D63">
        <v>1935.6898219315181</v>
      </c>
      <c r="E63">
        <v>2891.2164087038695</v>
      </c>
      <c r="F63">
        <v>3604.1642545088575</v>
      </c>
      <c r="G63">
        <v>4155.8720463726222</v>
      </c>
      <c r="H63" s="3">
        <f t="shared" si="1"/>
        <v>11.764705882352942</v>
      </c>
      <c r="I63" s="3">
        <f t="shared" si="2"/>
        <v>70.588235294117652</v>
      </c>
      <c r="J63" s="3">
        <f t="shared" si="3"/>
        <v>113.86410717244223</v>
      </c>
      <c r="K63" s="3">
        <f t="shared" si="4"/>
        <v>170.0715534531688</v>
      </c>
      <c r="L63" s="3">
        <f t="shared" si="5"/>
        <v>212.0096620299328</v>
      </c>
      <c r="M63" s="3">
        <f t="shared" si="6"/>
        <v>244.46306155133072</v>
      </c>
    </row>
    <row r="64" spans="1:13" x14ac:dyDescent="0.25">
      <c r="A64" t="s">
        <v>64</v>
      </c>
      <c r="B64">
        <v>200</v>
      </c>
      <c r="C64">
        <v>1200</v>
      </c>
      <c r="D64">
        <v>1935.6898219315181</v>
      </c>
      <c r="E64">
        <v>2891.2164087038695</v>
      </c>
      <c r="F64">
        <v>3604.1642545088575</v>
      </c>
      <c r="G64">
        <v>4155.8720463726222</v>
      </c>
      <c r="H64" s="3">
        <f t="shared" si="1"/>
        <v>11.764705882352942</v>
      </c>
      <c r="I64" s="3">
        <f t="shared" si="2"/>
        <v>70.588235294117652</v>
      </c>
      <c r="J64" s="3">
        <f t="shared" si="3"/>
        <v>113.86410717244223</v>
      </c>
      <c r="K64" s="3">
        <f t="shared" si="4"/>
        <v>170.0715534531688</v>
      </c>
      <c r="L64" s="3">
        <f t="shared" si="5"/>
        <v>212.0096620299328</v>
      </c>
      <c r="M64" s="3">
        <f t="shared" si="6"/>
        <v>244.46306155133072</v>
      </c>
    </row>
    <row r="65" spans="1:13" x14ac:dyDescent="0.25">
      <c r="A65" t="s">
        <v>79</v>
      </c>
      <c r="B65">
        <v>200</v>
      </c>
      <c r="C65">
        <v>1200</v>
      </c>
      <c r="D65">
        <v>1935.6898219315181</v>
      </c>
      <c r="E65">
        <v>2891.2164087038695</v>
      </c>
      <c r="F65">
        <v>3604.1642545088575</v>
      </c>
      <c r="G65">
        <v>4155.8720463726222</v>
      </c>
      <c r="H65" s="3">
        <f t="shared" si="1"/>
        <v>11.764705882352942</v>
      </c>
      <c r="I65" s="3">
        <f t="shared" si="2"/>
        <v>70.588235294117652</v>
      </c>
      <c r="J65" s="3">
        <f t="shared" si="3"/>
        <v>113.86410717244223</v>
      </c>
      <c r="K65" s="3">
        <f t="shared" si="4"/>
        <v>170.0715534531688</v>
      </c>
      <c r="L65" s="3">
        <f t="shared" si="5"/>
        <v>212.0096620299328</v>
      </c>
      <c r="M65" s="3">
        <f t="shared" si="6"/>
        <v>244.46306155133072</v>
      </c>
    </row>
    <row r="66" spans="1:13" x14ac:dyDescent="0.25">
      <c r="A66" t="s">
        <v>88</v>
      </c>
      <c r="B66">
        <v>200</v>
      </c>
      <c r="C66">
        <v>1200</v>
      </c>
      <c r="D66">
        <v>1935.6898219315181</v>
      </c>
      <c r="E66">
        <v>2891.2164087038695</v>
      </c>
      <c r="F66">
        <v>3604.1642545088575</v>
      </c>
      <c r="G66">
        <v>4155.8720463726222</v>
      </c>
      <c r="H66" s="3">
        <f t="shared" si="1"/>
        <v>11.764705882352942</v>
      </c>
      <c r="I66" s="3">
        <f t="shared" si="2"/>
        <v>70.588235294117652</v>
      </c>
      <c r="J66" s="3">
        <f t="shared" si="3"/>
        <v>113.86410717244223</v>
      </c>
      <c r="K66" s="3">
        <f t="shared" si="4"/>
        <v>170.0715534531688</v>
      </c>
      <c r="L66" s="3">
        <f t="shared" si="5"/>
        <v>212.0096620299328</v>
      </c>
      <c r="M66" s="3">
        <f t="shared" si="6"/>
        <v>244.46306155133072</v>
      </c>
    </row>
    <row r="67" spans="1:13" x14ac:dyDescent="0.25">
      <c r="A67" t="s">
        <v>100</v>
      </c>
      <c r="B67">
        <v>200</v>
      </c>
      <c r="C67">
        <v>1200</v>
      </c>
      <c r="D67">
        <v>1935.6898219315181</v>
      </c>
      <c r="E67">
        <v>2891.2164087038695</v>
      </c>
      <c r="F67">
        <v>3604.1642545088575</v>
      </c>
      <c r="G67">
        <v>4155.8720463726222</v>
      </c>
      <c r="H67" s="3">
        <f t="shared" ref="H67:H72" si="7">B67/17</f>
        <v>11.764705882352942</v>
      </c>
      <c r="I67" s="3">
        <f t="shared" ref="I67:I72" si="8">C67/17</f>
        <v>70.588235294117652</v>
      </c>
      <c r="J67" s="3">
        <f t="shared" ref="J67:J72" si="9">D67/17</f>
        <v>113.86410717244223</v>
      </c>
      <c r="K67" s="3">
        <f t="shared" ref="K67:K72" si="10">E67/17</f>
        <v>170.0715534531688</v>
      </c>
      <c r="L67" s="3">
        <f t="shared" ref="L67:L72" si="11">F67/17</f>
        <v>212.0096620299328</v>
      </c>
      <c r="M67" s="3">
        <f t="shared" ref="M67:M72" si="12">G67/17</f>
        <v>244.46306155133072</v>
      </c>
    </row>
    <row r="68" spans="1:13" x14ac:dyDescent="0.25">
      <c r="A68" t="s">
        <v>46</v>
      </c>
      <c r="B68">
        <v>200</v>
      </c>
      <c r="C68">
        <v>1200</v>
      </c>
      <c r="D68">
        <v>1935.6898219315181</v>
      </c>
      <c r="E68">
        <v>2891.2164087038695</v>
      </c>
      <c r="F68">
        <v>3590.6495152798329</v>
      </c>
      <c r="G68">
        <v>4142.3573071435985</v>
      </c>
      <c r="H68" s="3">
        <f t="shared" si="7"/>
        <v>11.764705882352942</v>
      </c>
      <c r="I68" s="3">
        <f t="shared" si="8"/>
        <v>70.588235294117652</v>
      </c>
      <c r="J68" s="3">
        <f t="shared" si="9"/>
        <v>113.86410717244223</v>
      </c>
      <c r="K68" s="3">
        <f t="shared" si="10"/>
        <v>170.0715534531688</v>
      </c>
      <c r="L68" s="3">
        <f t="shared" si="11"/>
        <v>211.21467736940193</v>
      </c>
      <c r="M68" s="3">
        <f t="shared" si="12"/>
        <v>243.66807689079991</v>
      </c>
    </row>
    <row r="69" spans="1:13" x14ac:dyDescent="0.25">
      <c r="A69" t="s">
        <v>65</v>
      </c>
      <c r="B69">
        <v>200</v>
      </c>
      <c r="C69">
        <v>1200</v>
      </c>
      <c r="D69">
        <v>1935.6898219315181</v>
      </c>
      <c r="E69">
        <v>2891.2164087038695</v>
      </c>
      <c r="F69">
        <v>3590.6495152798329</v>
      </c>
      <c r="G69">
        <v>4142.3573071435985</v>
      </c>
      <c r="H69" s="3">
        <f t="shared" si="7"/>
        <v>11.764705882352942</v>
      </c>
      <c r="I69" s="3">
        <f t="shared" si="8"/>
        <v>70.588235294117652</v>
      </c>
      <c r="J69" s="3">
        <f t="shared" si="9"/>
        <v>113.86410717244223</v>
      </c>
      <c r="K69" s="3">
        <f t="shared" si="10"/>
        <v>170.0715534531688</v>
      </c>
      <c r="L69" s="3">
        <f t="shared" si="11"/>
        <v>211.21467736940193</v>
      </c>
      <c r="M69" s="3">
        <f t="shared" si="12"/>
        <v>243.66807689079991</v>
      </c>
    </row>
    <row r="70" spans="1:13" x14ac:dyDescent="0.25">
      <c r="A70" t="s">
        <v>87</v>
      </c>
      <c r="B70">
        <v>200</v>
      </c>
      <c r="C70">
        <v>1200</v>
      </c>
      <c r="D70">
        <v>1935.6898219315181</v>
      </c>
      <c r="E70">
        <v>2891.2164087038695</v>
      </c>
      <c r="F70">
        <v>3590.6495152798329</v>
      </c>
      <c r="G70">
        <v>4142.3573071435985</v>
      </c>
      <c r="H70" s="3">
        <f t="shared" si="7"/>
        <v>11.764705882352942</v>
      </c>
      <c r="I70" s="3">
        <f t="shared" si="8"/>
        <v>70.588235294117652</v>
      </c>
      <c r="J70" s="3">
        <f t="shared" si="9"/>
        <v>113.86410717244223</v>
      </c>
      <c r="K70" s="3">
        <f t="shared" si="10"/>
        <v>170.0715534531688</v>
      </c>
      <c r="L70" s="3">
        <f t="shared" si="11"/>
        <v>211.21467736940193</v>
      </c>
      <c r="M70" s="3">
        <f t="shared" si="12"/>
        <v>243.66807689079991</v>
      </c>
    </row>
    <row r="71" spans="1:13" x14ac:dyDescent="0.25">
      <c r="A71" t="s">
        <v>99</v>
      </c>
      <c r="B71">
        <v>200</v>
      </c>
      <c r="C71">
        <v>1200</v>
      </c>
      <c r="D71">
        <v>1935.6898219315181</v>
      </c>
      <c r="E71">
        <v>2891.2164087038695</v>
      </c>
      <c r="F71">
        <v>3590.6495152798329</v>
      </c>
      <c r="G71">
        <v>4142.3573071435985</v>
      </c>
      <c r="H71" s="3">
        <f t="shared" si="7"/>
        <v>11.764705882352942</v>
      </c>
      <c r="I71" s="3">
        <f t="shared" si="8"/>
        <v>70.588235294117652</v>
      </c>
      <c r="J71" s="3">
        <f t="shared" si="9"/>
        <v>113.86410717244223</v>
      </c>
      <c r="K71" s="3">
        <f t="shared" si="10"/>
        <v>170.0715534531688</v>
      </c>
      <c r="L71" s="3">
        <f t="shared" si="11"/>
        <v>211.21467736940193</v>
      </c>
      <c r="M71" s="3">
        <f t="shared" si="12"/>
        <v>243.66807689079991</v>
      </c>
    </row>
    <row r="72" spans="1:13" x14ac:dyDescent="0.25">
      <c r="A72" t="s">
        <v>107</v>
      </c>
      <c r="B72">
        <v>200</v>
      </c>
      <c r="C72">
        <v>1200</v>
      </c>
      <c r="D72">
        <v>1935.6898219315181</v>
      </c>
      <c r="E72">
        <v>2891.2164087038695</v>
      </c>
      <c r="F72">
        <v>3590.6495152798329</v>
      </c>
      <c r="G72">
        <v>4142.3573071435985</v>
      </c>
      <c r="H72" s="3">
        <f t="shared" si="7"/>
        <v>11.764705882352942</v>
      </c>
      <c r="I72" s="3">
        <f t="shared" si="8"/>
        <v>70.588235294117652</v>
      </c>
      <c r="J72" s="3">
        <f t="shared" si="9"/>
        <v>113.86410717244223</v>
      </c>
      <c r="K72" s="3">
        <f t="shared" si="10"/>
        <v>170.0715534531688</v>
      </c>
      <c r="L72" s="3">
        <f t="shared" si="11"/>
        <v>211.21467736940193</v>
      </c>
      <c r="M72" s="3">
        <f t="shared" si="12"/>
        <v>243.66807689079991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73"/>
  <sheetViews>
    <sheetView tabSelected="1" topLeftCell="K1" zoomScale="90" zoomScaleNormal="90" workbookViewId="0">
      <selection activeCell="T59" sqref="T59"/>
    </sheetView>
  </sheetViews>
  <sheetFormatPr defaultRowHeight="15" x14ac:dyDescent="0.25"/>
  <cols>
    <col min="11" max="11" width="9.140625" style="2"/>
    <col min="16" max="16" width="9.140625" style="2"/>
    <col min="21" max="21" width="9.140625" style="2"/>
  </cols>
  <sheetData>
    <row r="1" spans="1:25" x14ac:dyDescent="0.25">
      <c r="A1" t="s">
        <v>0</v>
      </c>
      <c r="B1" t="s">
        <v>39</v>
      </c>
      <c r="C1" t="s">
        <v>40</v>
      </c>
      <c r="D1" t="s">
        <v>41</v>
      </c>
      <c r="E1" t="s">
        <v>132</v>
      </c>
      <c r="F1" t="s">
        <v>34</v>
      </c>
      <c r="G1" t="s">
        <v>35</v>
      </c>
      <c r="H1" t="s">
        <v>36</v>
      </c>
      <c r="I1" t="s">
        <v>37</v>
      </c>
      <c r="J1" t="s">
        <v>38</v>
      </c>
      <c r="K1" s="2" t="s">
        <v>146</v>
      </c>
      <c r="L1" t="s">
        <v>145</v>
      </c>
      <c r="M1" t="s">
        <v>147</v>
      </c>
      <c r="N1" t="s">
        <v>148</v>
      </c>
      <c r="O1" t="s">
        <v>149</v>
      </c>
      <c r="P1" s="2" t="s">
        <v>150</v>
      </c>
      <c r="Q1" t="s">
        <v>151</v>
      </c>
      <c r="R1" t="s">
        <v>152</v>
      </c>
      <c r="S1" t="s">
        <v>153</v>
      </c>
      <c r="T1" t="s">
        <v>154</v>
      </c>
      <c r="U1" s="2" t="s">
        <v>150</v>
      </c>
      <c r="V1" t="s">
        <v>151</v>
      </c>
      <c r="W1" t="s">
        <v>152</v>
      </c>
      <c r="X1" t="s">
        <v>153</v>
      </c>
      <c r="Y1" t="s">
        <v>154</v>
      </c>
    </row>
    <row r="2" spans="1:25" x14ac:dyDescent="0.25">
      <c r="A2" t="s">
        <v>58</v>
      </c>
      <c r="B2" t="s">
        <v>117</v>
      </c>
      <c r="C2" t="s">
        <v>125</v>
      </c>
      <c r="D2" t="s">
        <v>126</v>
      </c>
      <c r="E2">
        <v>0</v>
      </c>
      <c r="F2">
        <v>1</v>
      </c>
      <c r="G2">
        <v>1.735689821931518</v>
      </c>
      <c r="H2">
        <v>2.6912164087038697</v>
      </c>
      <c r="I2">
        <v>3.4006775214540217</v>
      </c>
      <c r="J2">
        <v>3.9527098743114619</v>
      </c>
      <c r="K2" s="2">
        <v>1</v>
      </c>
      <c r="L2">
        <f>G2-F2</f>
        <v>0.735689821931518</v>
      </c>
      <c r="M2">
        <f>H2-G2</f>
        <v>0.95552658677235169</v>
      </c>
      <c r="N2">
        <f>I2-H2</f>
        <v>0.709461112750152</v>
      </c>
      <c r="O2">
        <f>J2-I2</f>
        <v>0.55203235285744023</v>
      </c>
      <c r="P2" s="2">
        <f>K2*1000</f>
        <v>1000</v>
      </c>
      <c r="Q2">
        <f t="shared" ref="Q2:T2" si="0">L2*1000</f>
        <v>735.68982193151794</v>
      </c>
      <c r="R2">
        <f t="shared" si="0"/>
        <v>955.52658677235172</v>
      </c>
      <c r="S2">
        <f t="shared" si="0"/>
        <v>709.46111275015198</v>
      </c>
      <c r="T2">
        <f t="shared" si="0"/>
        <v>552.03235285744029</v>
      </c>
      <c r="U2" s="2">
        <f>P2/17</f>
        <v>58.823529411764703</v>
      </c>
      <c r="V2">
        <f t="shared" ref="V2:Y2" si="1">Q2/17</f>
        <v>43.275871878324587</v>
      </c>
      <c r="W2">
        <f t="shared" si="1"/>
        <v>56.207446280726572</v>
      </c>
      <c r="X2">
        <f t="shared" si="1"/>
        <v>41.733006632361878</v>
      </c>
      <c r="Y2">
        <f t="shared" si="1"/>
        <v>32.472491344555309</v>
      </c>
    </row>
    <row r="3" spans="1:25" x14ac:dyDescent="0.25">
      <c r="A3" t="s">
        <v>59</v>
      </c>
      <c r="B3" t="s">
        <v>117</v>
      </c>
      <c r="C3" t="s">
        <v>125</v>
      </c>
      <c r="D3" t="s">
        <v>127</v>
      </c>
      <c r="E3">
        <v>0</v>
      </c>
      <c r="F3">
        <v>1</v>
      </c>
      <c r="G3">
        <v>1.735689821931518</v>
      </c>
      <c r="H3">
        <v>2.6912164087038697</v>
      </c>
      <c r="I3">
        <v>3.4006775214540217</v>
      </c>
      <c r="J3">
        <v>3.9527098743114619</v>
      </c>
      <c r="K3" s="2">
        <v>1</v>
      </c>
      <c r="L3">
        <f t="shared" ref="L3:L66" si="2">G3-F3</f>
        <v>0.735689821931518</v>
      </c>
      <c r="M3">
        <f t="shared" ref="M3:M66" si="3">H3-G3</f>
        <v>0.95552658677235169</v>
      </c>
      <c r="N3">
        <f t="shared" ref="N3:N66" si="4">I3-H3</f>
        <v>0.709461112750152</v>
      </c>
      <c r="O3">
        <f t="shared" ref="O3:O66" si="5">J3-I3</f>
        <v>0.55203235285744023</v>
      </c>
      <c r="P3" s="2">
        <f t="shared" ref="P3:P66" si="6">K3*1000</f>
        <v>1000</v>
      </c>
      <c r="Q3">
        <f t="shared" ref="Q3:Q66" si="7">L3*1000</f>
        <v>735.68982193151794</v>
      </c>
      <c r="R3">
        <f t="shared" ref="R3:R66" si="8">M3*1000</f>
        <v>955.52658677235172</v>
      </c>
      <c r="S3">
        <f t="shared" ref="S3:S66" si="9">N3*1000</f>
        <v>709.46111275015198</v>
      </c>
      <c r="T3">
        <f t="shared" ref="T3:T66" si="10">O3*1000</f>
        <v>552.03235285744029</v>
      </c>
      <c r="U3" s="2">
        <f t="shared" ref="U3:U66" si="11">P3/17</f>
        <v>58.823529411764703</v>
      </c>
      <c r="V3">
        <f t="shared" ref="V3:V66" si="12">Q3/17</f>
        <v>43.275871878324587</v>
      </c>
      <c r="W3">
        <f t="shared" ref="W3:W66" si="13">R3/17</f>
        <v>56.207446280726572</v>
      </c>
      <c r="X3">
        <f t="shared" ref="X3:X66" si="14">S3/17</f>
        <v>41.733006632361878</v>
      </c>
      <c r="Y3">
        <f t="shared" ref="Y3:Y66" si="15">T3/17</f>
        <v>32.472491344555309</v>
      </c>
    </row>
    <row r="4" spans="1:25" x14ac:dyDescent="0.25">
      <c r="A4" t="s">
        <v>76</v>
      </c>
      <c r="B4" t="s">
        <v>117</v>
      </c>
      <c r="C4" t="s">
        <v>125</v>
      </c>
      <c r="D4" t="s">
        <v>128</v>
      </c>
      <c r="E4">
        <v>0</v>
      </c>
      <c r="F4">
        <v>1</v>
      </c>
      <c r="G4">
        <v>1.735689821931518</v>
      </c>
      <c r="H4">
        <v>2.6912164087038697</v>
      </c>
      <c r="I4">
        <v>3.4006775214540217</v>
      </c>
      <c r="J4">
        <v>3.9527098743114619</v>
      </c>
      <c r="K4" s="2">
        <v>1</v>
      </c>
      <c r="L4">
        <f t="shared" si="2"/>
        <v>0.735689821931518</v>
      </c>
      <c r="M4">
        <f t="shared" si="3"/>
        <v>0.95552658677235169</v>
      </c>
      <c r="N4">
        <f t="shared" si="4"/>
        <v>0.709461112750152</v>
      </c>
      <c r="O4">
        <f t="shared" si="5"/>
        <v>0.55203235285744023</v>
      </c>
      <c r="P4" s="2">
        <f t="shared" si="6"/>
        <v>1000</v>
      </c>
      <c r="Q4">
        <f t="shared" si="7"/>
        <v>735.68982193151794</v>
      </c>
      <c r="R4">
        <f t="shared" si="8"/>
        <v>955.52658677235172</v>
      </c>
      <c r="S4">
        <f t="shared" si="9"/>
        <v>709.46111275015198</v>
      </c>
      <c r="T4">
        <f t="shared" si="10"/>
        <v>552.03235285744029</v>
      </c>
      <c r="U4" s="2">
        <f t="shared" si="11"/>
        <v>58.823529411764703</v>
      </c>
      <c r="V4">
        <f t="shared" si="12"/>
        <v>43.275871878324587</v>
      </c>
      <c r="W4">
        <f t="shared" si="13"/>
        <v>56.207446280726572</v>
      </c>
      <c r="X4">
        <f t="shared" si="14"/>
        <v>41.733006632361878</v>
      </c>
      <c r="Y4">
        <f t="shared" si="15"/>
        <v>32.472491344555309</v>
      </c>
    </row>
    <row r="5" spans="1:25" x14ac:dyDescent="0.25">
      <c r="A5" t="s">
        <v>77</v>
      </c>
      <c r="B5" t="s">
        <v>117</v>
      </c>
      <c r="C5" t="s">
        <v>125</v>
      </c>
      <c r="D5" t="s">
        <v>131</v>
      </c>
      <c r="E5">
        <v>0</v>
      </c>
      <c r="F5">
        <v>1</v>
      </c>
      <c r="G5">
        <v>1.735689821931518</v>
      </c>
      <c r="H5">
        <v>2.6912164087038697</v>
      </c>
      <c r="I5">
        <v>3.4006775214540217</v>
      </c>
      <c r="J5">
        <v>3.9527098743114619</v>
      </c>
      <c r="K5" s="2">
        <v>1</v>
      </c>
      <c r="L5">
        <f t="shared" si="2"/>
        <v>0.735689821931518</v>
      </c>
      <c r="M5">
        <f t="shared" si="3"/>
        <v>0.95552658677235169</v>
      </c>
      <c r="N5">
        <f t="shared" si="4"/>
        <v>0.709461112750152</v>
      </c>
      <c r="O5">
        <f t="shared" si="5"/>
        <v>0.55203235285744023</v>
      </c>
      <c r="P5" s="2">
        <f t="shared" si="6"/>
        <v>1000</v>
      </c>
      <c r="Q5">
        <f t="shared" si="7"/>
        <v>735.68982193151794</v>
      </c>
      <c r="R5">
        <f t="shared" si="8"/>
        <v>955.52658677235172</v>
      </c>
      <c r="S5">
        <f t="shared" si="9"/>
        <v>709.46111275015198</v>
      </c>
      <c r="T5">
        <f t="shared" si="10"/>
        <v>552.03235285744029</v>
      </c>
      <c r="U5" s="2">
        <f t="shared" si="11"/>
        <v>58.823529411764703</v>
      </c>
      <c r="V5">
        <f t="shared" si="12"/>
        <v>43.275871878324587</v>
      </c>
      <c r="W5">
        <f t="shared" si="13"/>
        <v>56.207446280726572</v>
      </c>
      <c r="X5">
        <f t="shared" si="14"/>
        <v>41.733006632361878</v>
      </c>
      <c r="Y5">
        <f t="shared" si="15"/>
        <v>32.472491344555309</v>
      </c>
    </row>
    <row r="6" spans="1:25" x14ac:dyDescent="0.25">
      <c r="A6" t="s">
        <v>84</v>
      </c>
      <c r="B6" t="s">
        <v>117</v>
      </c>
      <c r="C6" t="s">
        <v>125</v>
      </c>
      <c r="D6" t="s">
        <v>126</v>
      </c>
      <c r="E6">
        <v>0</v>
      </c>
      <c r="F6">
        <v>1</v>
      </c>
      <c r="G6">
        <v>1.735689821931518</v>
      </c>
      <c r="H6">
        <v>2.6912164087038697</v>
      </c>
      <c r="I6">
        <v>3.4006775214540217</v>
      </c>
      <c r="J6">
        <v>3.9527098743114619</v>
      </c>
      <c r="K6" s="2">
        <v>1</v>
      </c>
      <c r="L6">
        <f t="shared" si="2"/>
        <v>0.735689821931518</v>
      </c>
      <c r="M6">
        <f t="shared" si="3"/>
        <v>0.95552658677235169</v>
      </c>
      <c r="N6">
        <f t="shared" si="4"/>
        <v>0.709461112750152</v>
      </c>
      <c r="O6">
        <f t="shared" si="5"/>
        <v>0.55203235285744023</v>
      </c>
      <c r="P6" s="2">
        <f t="shared" si="6"/>
        <v>1000</v>
      </c>
      <c r="Q6">
        <f t="shared" si="7"/>
        <v>735.68982193151794</v>
      </c>
      <c r="R6">
        <f t="shared" si="8"/>
        <v>955.52658677235172</v>
      </c>
      <c r="S6">
        <f t="shared" si="9"/>
        <v>709.46111275015198</v>
      </c>
      <c r="T6">
        <f t="shared" si="10"/>
        <v>552.03235285744029</v>
      </c>
      <c r="U6" s="2">
        <f t="shared" si="11"/>
        <v>58.823529411764703</v>
      </c>
      <c r="V6">
        <f t="shared" si="12"/>
        <v>43.275871878324587</v>
      </c>
      <c r="W6">
        <f t="shared" si="13"/>
        <v>56.207446280726572</v>
      </c>
      <c r="X6">
        <f t="shared" si="14"/>
        <v>41.733006632361878</v>
      </c>
      <c r="Y6">
        <f t="shared" si="15"/>
        <v>32.472491344555309</v>
      </c>
    </row>
    <row r="7" spans="1:25" x14ac:dyDescent="0.25">
      <c r="A7" t="s">
        <v>95</v>
      </c>
      <c r="B7" t="s">
        <v>117</v>
      </c>
      <c r="C7" t="s">
        <v>125</v>
      </c>
      <c r="D7" t="s">
        <v>128</v>
      </c>
      <c r="E7">
        <v>0</v>
      </c>
      <c r="F7">
        <v>1</v>
      </c>
      <c r="G7">
        <v>1.735689821931518</v>
      </c>
      <c r="H7">
        <v>2.6912164087038697</v>
      </c>
      <c r="I7">
        <v>3.4006775214540217</v>
      </c>
      <c r="J7">
        <v>3.9527098743114619</v>
      </c>
      <c r="K7" s="2">
        <v>1</v>
      </c>
      <c r="L7">
        <f t="shared" si="2"/>
        <v>0.735689821931518</v>
      </c>
      <c r="M7">
        <f t="shared" si="3"/>
        <v>0.95552658677235169</v>
      </c>
      <c r="N7">
        <f t="shared" si="4"/>
        <v>0.709461112750152</v>
      </c>
      <c r="O7">
        <f t="shared" si="5"/>
        <v>0.55203235285744023</v>
      </c>
      <c r="P7" s="2">
        <f t="shared" si="6"/>
        <v>1000</v>
      </c>
      <c r="Q7">
        <f t="shared" si="7"/>
        <v>735.68982193151794</v>
      </c>
      <c r="R7">
        <f t="shared" si="8"/>
        <v>955.52658677235172</v>
      </c>
      <c r="S7">
        <f t="shared" si="9"/>
        <v>709.46111275015198</v>
      </c>
      <c r="T7">
        <f t="shared" si="10"/>
        <v>552.03235285744029</v>
      </c>
      <c r="U7" s="2">
        <f t="shared" si="11"/>
        <v>58.823529411764703</v>
      </c>
      <c r="V7">
        <f t="shared" si="12"/>
        <v>43.275871878324587</v>
      </c>
      <c r="W7">
        <f t="shared" si="13"/>
        <v>56.207446280726572</v>
      </c>
      <c r="X7">
        <f t="shared" si="14"/>
        <v>41.733006632361878</v>
      </c>
      <c r="Y7">
        <f t="shared" si="15"/>
        <v>32.472491344555309</v>
      </c>
    </row>
    <row r="8" spans="1:25" x14ac:dyDescent="0.25">
      <c r="A8" t="s">
        <v>96</v>
      </c>
      <c r="B8" t="s">
        <v>117</v>
      </c>
      <c r="C8" t="s">
        <v>125</v>
      </c>
      <c r="D8" t="s">
        <v>127</v>
      </c>
      <c r="E8">
        <v>0</v>
      </c>
      <c r="F8">
        <v>1</v>
      </c>
      <c r="G8">
        <v>1.735689821931518</v>
      </c>
      <c r="H8">
        <v>2.6912164087038697</v>
      </c>
      <c r="I8">
        <v>3.4006775214540217</v>
      </c>
      <c r="J8">
        <v>3.9527098743114619</v>
      </c>
      <c r="K8" s="2">
        <v>1</v>
      </c>
      <c r="L8">
        <f t="shared" si="2"/>
        <v>0.735689821931518</v>
      </c>
      <c r="M8">
        <f t="shared" si="3"/>
        <v>0.95552658677235169</v>
      </c>
      <c r="N8">
        <f t="shared" si="4"/>
        <v>0.709461112750152</v>
      </c>
      <c r="O8">
        <f t="shared" si="5"/>
        <v>0.55203235285744023</v>
      </c>
      <c r="P8" s="2">
        <f t="shared" si="6"/>
        <v>1000</v>
      </c>
      <c r="Q8">
        <f t="shared" si="7"/>
        <v>735.68982193151794</v>
      </c>
      <c r="R8">
        <f t="shared" si="8"/>
        <v>955.52658677235172</v>
      </c>
      <c r="S8">
        <f t="shared" si="9"/>
        <v>709.46111275015198</v>
      </c>
      <c r="T8">
        <f t="shared" si="10"/>
        <v>552.03235285744029</v>
      </c>
      <c r="U8" s="2">
        <f t="shared" si="11"/>
        <v>58.823529411764703</v>
      </c>
      <c r="V8">
        <f t="shared" si="12"/>
        <v>43.275871878324587</v>
      </c>
      <c r="W8">
        <f t="shared" si="13"/>
        <v>56.207446280726572</v>
      </c>
      <c r="X8">
        <f t="shared" si="14"/>
        <v>41.733006632361878</v>
      </c>
      <c r="Y8">
        <f t="shared" si="15"/>
        <v>32.472491344555309</v>
      </c>
    </row>
    <row r="9" spans="1:25" x14ac:dyDescent="0.25">
      <c r="A9" t="s">
        <v>111</v>
      </c>
      <c r="B9" t="s">
        <v>117</v>
      </c>
      <c r="C9" t="s">
        <v>125</v>
      </c>
      <c r="D9" t="s">
        <v>131</v>
      </c>
      <c r="E9">
        <v>0</v>
      </c>
      <c r="F9">
        <v>1</v>
      </c>
      <c r="G9">
        <v>1.735689821931518</v>
      </c>
      <c r="H9">
        <v>2.6912164087038697</v>
      </c>
      <c r="I9">
        <v>3.4006775214540217</v>
      </c>
      <c r="J9">
        <v>3.9527098743114619</v>
      </c>
      <c r="K9" s="2">
        <v>1</v>
      </c>
      <c r="L9">
        <f t="shared" si="2"/>
        <v>0.735689821931518</v>
      </c>
      <c r="M9">
        <f t="shared" si="3"/>
        <v>0.95552658677235169</v>
      </c>
      <c r="N9">
        <f t="shared" si="4"/>
        <v>0.709461112750152</v>
      </c>
      <c r="O9">
        <f t="shared" si="5"/>
        <v>0.55203235285744023</v>
      </c>
      <c r="P9" s="2">
        <f t="shared" si="6"/>
        <v>1000</v>
      </c>
      <c r="Q9">
        <f t="shared" si="7"/>
        <v>735.68982193151794</v>
      </c>
      <c r="R9">
        <f t="shared" si="8"/>
        <v>955.52658677235172</v>
      </c>
      <c r="S9">
        <f t="shared" si="9"/>
        <v>709.46111275015198</v>
      </c>
      <c r="T9">
        <f t="shared" si="10"/>
        <v>552.03235285744029</v>
      </c>
      <c r="U9" s="2">
        <f t="shared" si="11"/>
        <v>58.823529411764703</v>
      </c>
      <c r="V9">
        <f t="shared" si="12"/>
        <v>43.275871878324587</v>
      </c>
      <c r="W9">
        <f t="shared" si="13"/>
        <v>56.207446280726572</v>
      </c>
      <c r="X9">
        <f t="shared" si="14"/>
        <v>41.733006632361878</v>
      </c>
      <c r="Y9">
        <f t="shared" si="15"/>
        <v>32.472491344555309</v>
      </c>
    </row>
    <row r="10" spans="1:25" x14ac:dyDescent="0.25">
      <c r="A10" t="s">
        <v>56</v>
      </c>
      <c r="B10" t="s">
        <v>113</v>
      </c>
      <c r="C10" t="s">
        <v>125</v>
      </c>
      <c r="D10" t="s">
        <v>127</v>
      </c>
      <c r="E10">
        <v>0</v>
      </c>
      <c r="F10">
        <v>1</v>
      </c>
      <c r="G10">
        <v>1.735689821931518</v>
      </c>
      <c r="H10">
        <v>2.6912164087038697</v>
      </c>
      <c r="I10">
        <v>3.4026676558694016</v>
      </c>
      <c r="J10">
        <v>3.9547000087268414</v>
      </c>
      <c r="K10" s="2">
        <v>1</v>
      </c>
      <c r="L10">
        <f t="shared" si="2"/>
        <v>0.735689821931518</v>
      </c>
      <c r="M10">
        <f t="shared" si="3"/>
        <v>0.95552658677235169</v>
      </c>
      <c r="N10">
        <f t="shared" si="4"/>
        <v>0.71145124716553187</v>
      </c>
      <c r="O10">
        <f t="shared" si="5"/>
        <v>0.55203235285743979</v>
      </c>
      <c r="P10" s="2">
        <f t="shared" si="6"/>
        <v>1000</v>
      </c>
      <c r="Q10">
        <f t="shared" si="7"/>
        <v>735.68982193151794</v>
      </c>
      <c r="R10">
        <f t="shared" si="8"/>
        <v>955.52658677235172</v>
      </c>
      <c r="S10">
        <f t="shared" si="9"/>
        <v>711.45124716553187</v>
      </c>
      <c r="T10">
        <f t="shared" si="10"/>
        <v>552.03235285743983</v>
      </c>
      <c r="U10" s="2">
        <f t="shared" si="11"/>
        <v>58.823529411764703</v>
      </c>
      <c r="V10">
        <f t="shared" si="12"/>
        <v>43.275871878324587</v>
      </c>
      <c r="W10">
        <f t="shared" si="13"/>
        <v>56.207446280726572</v>
      </c>
      <c r="X10">
        <f t="shared" si="14"/>
        <v>41.850073362678344</v>
      </c>
      <c r="Y10">
        <f t="shared" si="15"/>
        <v>32.472491344555287</v>
      </c>
    </row>
    <row r="11" spans="1:25" x14ac:dyDescent="0.25">
      <c r="A11" t="s">
        <v>57</v>
      </c>
      <c r="B11" t="s">
        <v>113</v>
      </c>
      <c r="C11" t="s">
        <v>125</v>
      </c>
      <c r="D11" t="s">
        <v>128</v>
      </c>
      <c r="E11">
        <v>0</v>
      </c>
      <c r="F11">
        <v>1</v>
      </c>
      <c r="G11">
        <v>1.735689821931518</v>
      </c>
      <c r="H11">
        <v>2.6912164087038697</v>
      </c>
      <c r="I11">
        <v>3.4026676558694016</v>
      </c>
      <c r="J11">
        <v>3.9547000087268414</v>
      </c>
      <c r="K11" s="2">
        <v>1</v>
      </c>
      <c r="L11">
        <f t="shared" si="2"/>
        <v>0.735689821931518</v>
      </c>
      <c r="M11">
        <f t="shared" si="3"/>
        <v>0.95552658677235169</v>
      </c>
      <c r="N11">
        <f t="shared" si="4"/>
        <v>0.71145124716553187</v>
      </c>
      <c r="O11">
        <f t="shared" si="5"/>
        <v>0.55203235285743979</v>
      </c>
      <c r="P11" s="2">
        <f t="shared" si="6"/>
        <v>1000</v>
      </c>
      <c r="Q11">
        <f t="shared" si="7"/>
        <v>735.68982193151794</v>
      </c>
      <c r="R11">
        <f t="shared" si="8"/>
        <v>955.52658677235172</v>
      </c>
      <c r="S11">
        <f t="shared" si="9"/>
        <v>711.45124716553187</v>
      </c>
      <c r="T11">
        <f t="shared" si="10"/>
        <v>552.03235285743983</v>
      </c>
      <c r="U11" s="2">
        <f t="shared" si="11"/>
        <v>58.823529411764703</v>
      </c>
      <c r="V11">
        <f t="shared" si="12"/>
        <v>43.275871878324587</v>
      </c>
      <c r="W11">
        <f t="shared" si="13"/>
        <v>56.207446280726572</v>
      </c>
      <c r="X11">
        <f t="shared" si="14"/>
        <v>41.850073362678344</v>
      </c>
      <c r="Y11">
        <f t="shared" si="15"/>
        <v>32.472491344555287</v>
      </c>
    </row>
    <row r="12" spans="1:25" x14ac:dyDescent="0.25">
      <c r="A12" t="s">
        <v>74</v>
      </c>
      <c r="B12" t="s">
        <v>113</v>
      </c>
      <c r="C12" t="s">
        <v>125</v>
      </c>
      <c r="D12" t="s">
        <v>131</v>
      </c>
      <c r="E12">
        <v>0</v>
      </c>
      <c r="F12">
        <v>1</v>
      </c>
      <c r="G12">
        <v>1.735689821931518</v>
      </c>
      <c r="H12">
        <v>2.6912164087038697</v>
      </c>
      <c r="I12">
        <v>3.4026676558694016</v>
      </c>
      <c r="J12">
        <v>3.9547000087268414</v>
      </c>
      <c r="K12" s="2">
        <v>1</v>
      </c>
      <c r="L12">
        <f t="shared" si="2"/>
        <v>0.735689821931518</v>
      </c>
      <c r="M12">
        <f t="shared" si="3"/>
        <v>0.95552658677235169</v>
      </c>
      <c r="N12">
        <f t="shared" si="4"/>
        <v>0.71145124716553187</v>
      </c>
      <c r="O12">
        <f t="shared" si="5"/>
        <v>0.55203235285743979</v>
      </c>
      <c r="P12" s="2">
        <f t="shared" si="6"/>
        <v>1000</v>
      </c>
      <c r="Q12">
        <f t="shared" si="7"/>
        <v>735.68982193151794</v>
      </c>
      <c r="R12">
        <f t="shared" si="8"/>
        <v>955.52658677235172</v>
      </c>
      <c r="S12">
        <f t="shared" si="9"/>
        <v>711.45124716553187</v>
      </c>
      <c r="T12">
        <f t="shared" si="10"/>
        <v>552.03235285743983</v>
      </c>
      <c r="U12" s="2">
        <f t="shared" si="11"/>
        <v>58.823529411764703</v>
      </c>
      <c r="V12">
        <f t="shared" si="12"/>
        <v>43.275871878324587</v>
      </c>
      <c r="W12">
        <f t="shared" si="13"/>
        <v>56.207446280726572</v>
      </c>
      <c r="X12">
        <f t="shared" si="14"/>
        <v>41.850073362678344</v>
      </c>
      <c r="Y12">
        <f t="shared" si="15"/>
        <v>32.472491344555287</v>
      </c>
    </row>
    <row r="13" spans="1:25" x14ac:dyDescent="0.25">
      <c r="A13" t="s">
        <v>75</v>
      </c>
      <c r="B13" t="s">
        <v>113</v>
      </c>
      <c r="C13" t="s">
        <v>125</v>
      </c>
      <c r="D13" t="s">
        <v>126</v>
      </c>
      <c r="E13">
        <v>0</v>
      </c>
      <c r="F13">
        <v>1</v>
      </c>
      <c r="G13">
        <v>1.735689821931518</v>
      </c>
      <c r="H13">
        <v>2.6912164087038697</v>
      </c>
      <c r="I13">
        <v>3.4026676558694016</v>
      </c>
      <c r="J13">
        <v>3.9547000087268414</v>
      </c>
      <c r="K13" s="2">
        <v>1</v>
      </c>
      <c r="L13">
        <f t="shared" si="2"/>
        <v>0.735689821931518</v>
      </c>
      <c r="M13">
        <f t="shared" si="3"/>
        <v>0.95552658677235169</v>
      </c>
      <c r="N13">
        <f t="shared" si="4"/>
        <v>0.71145124716553187</v>
      </c>
      <c r="O13">
        <f t="shared" si="5"/>
        <v>0.55203235285743979</v>
      </c>
      <c r="P13" s="2">
        <f t="shared" si="6"/>
        <v>1000</v>
      </c>
      <c r="Q13">
        <f t="shared" si="7"/>
        <v>735.68982193151794</v>
      </c>
      <c r="R13">
        <f t="shared" si="8"/>
        <v>955.52658677235172</v>
      </c>
      <c r="S13">
        <f t="shared" si="9"/>
        <v>711.45124716553187</v>
      </c>
      <c r="T13">
        <f t="shared" si="10"/>
        <v>552.03235285743983</v>
      </c>
      <c r="U13" s="2">
        <f t="shared" si="11"/>
        <v>58.823529411764703</v>
      </c>
      <c r="V13">
        <f t="shared" si="12"/>
        <v>43.275871878324587</v>
      </c>
      <c r="W13">
        <f t="shared" si="13"/>
        <v>56.207446280726572</v>
      </c>
      <c r="X13">
        <f t="shared" si="14"/>
        <v>41.850073362678344</v>
      </c>
      <c r="Y13">
        <f t="shared" si="15"/>
        <v>32.472491344555287</v>
      </c>
    </row>
    <row r="14" spans="1:25" x14ac:dyDescent="0.25">
      <c r="A14" t="s">
        <v>93</v>
      </c>
      <c r="B14" t="s">
        <v>113</v>
      </c>
      <c r="C14" t="s">
        <v>125</v>
      </c>
      <c r="D14" t="s">
        <v>128</v>
      </c>
      <c r="E14">
        <v>0</v>
      </c>
      <c r="F14">
        <v>1</v>
      </c>
      <c r="G14">
        <v>1.735689821931518</v>
      </c>
      <c r="H14">
        <v>2.6912164087038697</v>
      </c>
      <c r="I14">
        <v>3.4026676558694016</v>
      </c>
      <c r="J14">
        <v>3.9547000087268414</v>
      </c>
      <c r="K14" s="2">
        <v>1</v>
      </c>
      <c r="L14">
        <f t="shared" si="2"/>
        <v>0.735689821931518</v>
      </c>
      <c r="M14">
        <f t="shared" si="3"/>
        <v>0.95552658677235169</v>
      </c>
      <c r="N14">
        <f t="shared" si="4"/>
        <v>0.71145124716553187</v>
      </c>
      <c r="O14">
        <f t="shared" si="5"/>
        <v>0.55203235285743979</v>
      </c>
      <c r="P14" s="2">
        <f t="shared" si="6"/>
        <v>1000</v>
      </c>
      <c r="Q14">
        <f t="shared" si="7"/>
        <v>735.68982193151794</v>
      </c>
      <c r="R14">
        <f t="shared" si="8"/>
        <v>955.52658677235172</v>
      </c>
      <c r="S14">
        <f t="shared" si="9"/>
        <v>711.45124716553187</v>
      </c>
      <c r="T14">
        <f t="shared" si="10"/>
        <v>552.03235285743983</v>
      </c>
      <c r="U14" s="2">
        <f t="shared" si="11"/>
        <v>58.823529411764703</v>
      </c>
      <c r="V14">
        <f t="shared" si="12"/>
        <v>43.275871878324587</v>
      </c>
      <c r="W14">
        <f t="shared" si="13"/>
        <v>56.207446280726572</v>
      </c>
      <c r="X14">
        <f t="shared" si="14"/>
        <v>41.850073362678344</v>
      </c>
      <c r="Y14">
        <f t="shared" si="15"/>
        <v>32.472491344555287</v>
      </c>
    </row>
    <row r="15" spans="1:25" x14ac:dyDescent="0.25">
      <c r="A15" t="s">
        <v>94</v>
      </c>
      <c r="B15" t="s">
        <v>113</v>
      </c>
      <c r="C15" t="s">
        <v>125</v>
      </c>
      <c r="D15" t="s">
        <v>127</v>
      </c>
      <c r="E15">
        <v>0</v>
      </c>
      <c r="F15">
        <v>1</v>
      </c>
      <c r="G15">
        <v>1.735689821931518</v>
      </c>
      <c r="H15">
        <v>2.6912164087038697</v>
      </c>
      <c r="I15">
        <v>3.4026676558694016</v>
      </c>
      <c r="J15">
        <v>3.9547000087268414</v>
      </c>
      <c r="K15" s="2">
        <v>1</v>
      </c>
      <c r="L15">
        <f t="shared" si="2"/>
        <v>0.735689821931518</v>
      </c>
      <c r="M15">
        <f t="shared" si="3"/>
        <v>0.95552658677235169</v>
      </c>
      <c r="N15">
        <f t="shared" si="4"/>
        <v>0.71145124716553187</v>
      </c>
      <c r="O15">
        <f t="shared" si="5"/>
        <v>0.55203235285743979</v>
      </c>
      <c r="P15" s="2">
        <f t="shared" si="6"/>
        <v>1000</v>
      </c>
      <c r="Q15">
        <f t="shared" si="7"/>
        <v>735.68982193151794</v>
      </c>
      <c r="R15">
        <f t="shared" si="8"/>
        <v>955.52658677235172</v>
      </c>
      <c r="S15">
        <f t="shared" si="9"/>
        <v>711.45124716553187</v>
      </c>
      <c r="T15">
        <f t="shared" si="10"/>
        <v>552.03235285743983</v>
      </c>
      <c r="U15" s="2">
        <f t="shared" si="11"/>
        <v>58.823529411764703</v>
      </c>
      <c r="V15">
        <f t="shared" si="12"/>
        <v>43.275871878324587</v>
      </c>
      <c r="W15">
        <f t="shared" si="13"/>
        <v>56.207446280726572</v>
      </c>
      <c r="X15">
        <f t="shared" si="14"/>
        <v>41.850073362678344</v>
      </c>
      <c r="Y15">
        <f t="shared" si="15"/>
        <v>32.472491344555287</v>
      </c>
    </row>
    <row r="16" spans="1:25" x14ac:dyDescent="0.25">
      <c r="A16" t="s">
        <v>55</v>
      </c>
      <c r="B16" t="s">
        <v>120</v>
      </c>
      <c r="C16" t="s">
        <v>125</v>
      </c>
      <c r="D16" t="s">
        <v>127</v>
      </c>
      <c r="E16">
        <v>0</v>
      </c>
      <c r="F16">
        <v>1</v>
      </c>
      <c r="G16">
        <v>1.735689821931518</v>
      </c>
      <c r="H16">
        <v>2.6912164087038697</v>
      </c>
      <c r="I16">
        <v>3.4041642545088577</v>
      </c>
      <c r="J16">
        <v>3.956196607366298</v>
      </c>
      <c r="K16" s="2">
        <v>1</v>
      </c>
      <c r="L16">
        <f t="shared" si="2"/>
        <v>0.735689821931518</v>
      </c>
      <c r="M16">
        <f t="shared" si="3"/>
        <v>0.95552658677235169</v>
      </c>
      <c r="N16">
        <f t="shared" si="4"/>
        <v>0.71294784580498805</v>
      </c>
      <c r="O16">
        <f t="shared" si="5"/>
        <v>0.55203235285744023</v>
      </c>
      <c r="P16" s="2">
        <f t="shared" si="6"/>
        <v>1000</v>
      </c>
      <c r="Q16">
        <f t="shared" si="7"/>
        <v>735.68982193151794</v>
      </c>
      <c r="R16">
        <f t="shared" si="8"/>
        <v>955.52658677235172</v>
      </c>
      <c r="S16">
        <f t="shared" si="9"/>
        <v>712.94784580498799</v>
      </c>
      <c r="T16">
        <f t="shared" si="10"/>
        <v>552.03235285744029</v>
      </c>
      <c r="U16" s="2">
        <f t="shared" si="11"/>
        <v>58.823529411764703</v>
      </c>
      <c r="V16">
        <f t="shared" si="12"/>
        <v>43.275871878324587</v>
      </c>
      <c r="W16">
        <f t="shared" si="13"/>
        <v>56.207446280726572</v>
      </c>
      <c r="X16">
        <f t="shared" si="14"/>
        <v>41.938108576764002</v>
      </c>
      <c r="Y16">
        <f t="shared" si="15"/>
        <v>32.472491344555309</v>
      </c>
    </row>
    <row r="17" spans="1:25" x14ac:dyDescent="0.25">
      <c r="A17" t="s">
        <v>72</v>
      </c>
      <c r="B17" t="s">
        <v>120</v>
      </c>
      <c r="C17" t="s">
        <v>125</v>
      </c>
      <c r="D17" t="s">
        <v>128</v>
      </c>
      <c r="E17">
        <v>0</v>
      </c>
      <c r="F17">
        <v>1</v>
      </c>
      <c r="G17">
        <v>1.735689821931518</v>
      </c>
      <c r="H17">
        <v>2.6912164087038697</v>
      </c>
      <c r="I17">
        <v>3.4041642545088577</v>
      </c>
      <c r="J17">
        <v>3.956196607366298</v>
      </c>
      <c r="K17" s="2">
        <v>1</v>
      </c>
      <c r="L17">
        <f t="shared" si="2"/>
        <v>0.735689821931518</v>
      </c>
      <c r="M17">
        <f t="shared" si="3"/>
        <v>0.95552658677235169</v>
      </c>
      <c r="N17">
        <f t="shared" si="4"/>
        <v>0.71294784580498805</v>
      </c>
      <c r="O17">
        <f t="shared" si="5"/>
        <v>0.55203235285744023</v>
      </c>
      <c r="P17" s="2">
        <f t="shared" si="6"/>
        <v>1000</v>
      </c>
      <c r="Q17">
        <f t="shared" si="7"/>
        <v>735.68982193151794</v>
      </c>
      <c r="R17">
        <f t="shared" si="8"/>
        <v>955.52658677235172</v>
      </c>
      <c r="S17">
        <f t="shared" si="9"/>
        <v>712.94784580498799</v>
      </c>
      <c r="T17">
        <f t="shared" si="10"/>
        <v>552.03235285744029</v>
      </c>
      <c r="U17" s="2">
        <f t="shared" si="11"/>
        <v>58.823529411764703</v>
      </c>
      <c r="V17">
        <f t="shared" si="12"/>
        <v>43.275871878324587</v>
      </c>
      <c r="W17">
        <f t="shared" si="13"/>
        <v>56.207446280726572</v>
      </c>
      <c r="X17">
        <f t="shared" si="14"/>
        <v>41.938108576764002</v>
      </c>
      <c r="Y17">
        <f t="shared" si="15"/>
        <v>32.472491344555309</v>
      </c>
    </row>
    <row r="18" spans="1:25" x14ac:dyDescent="0.25">
      <c r="A18" t="s">
        <v>98</v>
      </c>
      <c r="B18" t="s">
        <v>120</v>
      </c>
      <c r="C18" t="s">
        <v>125</v>
      </c>
      <c r="D18" t="s">
        <v>126</v>
      </c>
      <c r="E18">
        <v>0</v>
      </c>
      <c r="F18">
        <v>1</v>
      </c>
      <c r="G18">
        <v>1.735689821931518</v>
      </c>
      <c r="H18">
        <v>2.6912164087038697</v>
      </c>
      <c r="I18">
        <v>3.4041642545088577</v>
      </c>
      <c r="J18">
        <v>3.956196607366298</v>
      </c>
      <c r="K18" s="2">
        <v>1</v>
      </c>
      <c r="L18">
        <f t="shared" si="2"/>
        <v>0.735689821931518</v>
      </c>
      <c r="M18">
        <f t="shared" si="3"/>
        <v>0.95552658677235169</v>
      </c>
      <c r="N18">
        <f t="shared" si="4"/>
        <v>0.71294784580498805</v>
      </c>
      <c r="O18">
        <f t="shared" si="5"/>
        <v>0.55203235285744023</v>
      </c>
      <c r="P18" s="2">
        <f t="shared" si="6"/>
        <v>1000</v>
      </c>
      <c r="Q18">
        <f t="shared" si="7"/>
        <v>735.68982193151794</v>
      </c>
      <c r="R18">
        <f t="shared" si="8"/>
        <v>955.52658677235172</v>
      </c>
      <c r="S18">
        <f t="shared" si="9"/>
        <v>712.94784580498799</v>
      </c>
      <c r="T18">
        <f t="shared" si="10"/>
        <v>552.03235285744029</v>
      </c>
      <c r="U18" s="2">
        <f t="shared" si="11"/>
        <v>58.823529411764703</v>
      </c>
      <c r="V18">
        <f t="shared" si="12"/>
        <v>43.275871878324587</v>
      </c>
      <c r="W18">
        <f t="shared" si="13"/>
        <v>56.207446280726572</v>
      </c>
      <c r="X18">
        <f t="shared" si="14"/>
        <v>41.938108576764002</v>
      </c>
      <c r="Y18">
        <f t="shared" si="15"/>
        <v>32.472491344555309</v>
      </c>
    </row>
    <row r="19" spans="1:25" x14ac:dyDescent="0.25">
      <c r="A19" t="s">
        <v>106</v>
      </c>
      <c r="B19" t="s">
        <v>120</v>
      </c>
      <c r="C19" t="s">
        <v>125</v>
      </c>
      <c r="D19" t="s">
        <v>131</v>
      </c>
      <c r="E19">
        <v>0</v>
      </c>
      <c r="F19">
        <v>1</v>
      </c>
      <c r="G19">
        <v>1.735689821931518</v>
      </c>
      <c r="H19">
        <v>2.6912164087038697</v>
      </c>
      <c r="I19">
        <v>3.4041642545088577</v>
      </c>
      <c r="J19">
        <v>3.956196607366298</v>
      </c>
      <c r="K19" s="2">
        <v>1</v>
      </c>
      <c r="L19">
        <f t="shared" si="2"/>
        <v>0.735689821931518</v>
      </c>
      <c r="M19">
        <f t="shared" si="3"/>
        <v>0.95552658677235169</v>
      </c>
      <c r="N19">
        <f t="shared" si="4"/>
        <v>0.71294784580498805</v>
      </c>
      <c r="O19">
        <f t="shared" si="5"/>
        <v>0.55203235285744023</v>
      </c>
      <c r="P19" s="2">
        <f t="shared" si="6"/>
        <v>1000</v>
      </c>
      <c r="Q19">
        <f t="shared" si="7"/>
        <v>735.68982193151794</v>
      </c>
      <c r="R19">
        <f t="shared" si="8"/>
        <v>955.52658677235172</v>
      </c>
      <c r="S19">
        <f t="shared" si="9"/>
        <v>712.94784580498799</v>
      </c>
      <c r="T19">
        <f t="shared" si="10"/>
        <v>552.03235285744029</v>
      </c>
      <c r="U19" s="2">
        <f t="shared" si="11"/>
        <v>58.823529411764703</v>
      </c>
      <c r="V19">
        <f t="shared" si="12"/>
        <v>43.275871878324587</v>
      </c>
      <c r="W19">
        <f t="shared" si="13"/>
        <v>56.207446280726572</v>
      </c>
      <c r="X19">
        <f t="shared" si="14"/>
        <v>41.938108576764002</v>
      </c>
      <c r="Y19">
        <f t="shared" si="15"/>
        <v>32.472491344555309</v>
      </c>
    </row>
    <row r="20" spans="1:25" x14ac:dyDescent="0.25">
      <c r="A20" t="s">
        <v>54</v>
      </c>
      <c r="B20" t="s">
        <v>119</v>
      </c>
      <c r="C20" t="s">
        <v>125</v>
      </c>
      <c r="D20" t="s">
        <v>126</v>
      </c>
      <c r="E20">
        <v>0</v>
      </c>
      <c r="F20">
        <v>1</v>
      </c>
      <c r="G20">
        <v>1.735689821931518</v>
      </c>
      <c r="H20">
        <v>2.6912164087038697</v>
      </c>
      <c r="I20">
        <v>3.3906495152798328</v>
      </c>
      <c r="J20">
        <v>3.9426818681372726</v>
      </c>
      <c r="K20" s="2">
        <v>1</v>
      </c>
      <c r="L20">
        <f t="shared" si="2"/>
        <v>0.735689821931518</v>
      </c>
      <c r="M20">
        <f t="shared" si="3"/>
        <v>0.95552658677235169</v>
      </c>
      <c r="N20">
        <f t="shared" si="4"/>
        <v>0.69943310657596314</v>
      </c>
      <c r="O20">
        <f t="shared" si="5"/>
        <v>0.55203235285743979</v>
      </c>
      <c r="P20" s="2">
        <f t="shared" si="6"/>
        <v>1000</v>
      </c>
      <c r="Q20">
        <f t="shared" si="7"/>
        <v>735.68982193151794</v>
      </c>
      <c r="R20">
        <f t="shared" si="8"/>
        <v>955.52658677235172</v>
      </c>
      <c r="S20">
        <f t="shared" si="9"/>
        <v>699.43310657596317</v>
      </c>
      <c r="T20">
        <f t="shared" si="10"/>
        <v>552.03235285743983</v>
      </c>
      <c r="U20" s="2">
        <f t="shared" si="11"/>
        <v>58.823529411764703</v>
      </c>
      <c r="V20">
        <f t="shared" si="12"/>
        <v>43.275871878324587</v>
      </c>
      <c r="W20">
        <f t="shared" si="13"/>
        <v>56.207446280726572</v>
      </c>
      <c r="X20">
        <f t="shared" si="14"/>
        <v>41.143123916233129</v>
      </c>
      <c r="Y20">
        <f t="shared" si="15"/>
        <v>32.472491344555287</v>
      </c>
    </row>
    <row r="21" spans="1:25" x14ac:dyDescent="0.25">
      <c r="A21" t="s">
        <v>73</v>
      </c>
      <c r="B21" t="s">
        <v>119</v>
      </c>
      <c r="C21" t="s">
        <v>125</v>
      </c>
      <c r="D21" t="s">
        <v>131</v>
      </c>
      <c r="E21">
        <v>0</v>
      </c>
      <c r="F21">
        <v>1</v>
      </c>
      <c r="G21">
        <v>1.735689821931518</v>
      </c>
      <c r="H21">
        <v>2.6912164087038697</v>
      </c>
      <c r="I21">
        <v>3.3906495152798328</v>
      </c>
      <c r="J21">
        <v>3.9426818681372726</v>
      </c>
      <c r="K21" s="2">
        <v>1</v>
      </c>
      <c r="L21">
        <f t="shared" si="2"/>
        <v>0.735689821931518</v>
      </c>
      <c r="M21">
        <f t="shared" si="3"/>
        <v>0.95552658677235169</v>
      </c>
      <c r="N21">
        <f t="shared" si="4"/>
        <v>0.69943310657596314</v>
      </c>
      <c r="O21">
        <f t="shared" si="5"/>
        <v>0.55203235285743979</v>
      </c>
      <c r="P21" s="2">
        <f t="shared" si="6"/>
        <v>1000</v>
      </c>
      <c r="Q21">
        <f t="shared" si="7"/>
        <v>735.68982193151794</v>
      </c>
      <c r="R21">
        <f t="shared" si="8"/>
        <v>955.52658677235172</v>
      </c>
      <c r="S21">
        <f t="shared" si="9"/>
        <v>699.43310657596317</v>
      </c>
      <c r="T21">
        <f t="shared" si="10"/>
        <v>552.03235285743983</v>
      </c>
      <c r="U21" s="2">
        <f t="shared" si="11"/>
        <v>58.823529411764703</v>
      </c>
      <c r="V21">
        <f t="shared" si="12"/>
        <v>43.275871878324587</v>
      </c>
      <c r="W21">
        <f t="shared" si="13"/>
        <v>56.207446280726572</v>
      </c>
      <c r="X21">
        <f t="shared" si="14"/>
        <v>41.143123916233129</v>
      </c>
      <c r="Y21">
        <f t="shared" si="15"/>
        <v>32.472491344555287</v>
      </c>
    </row>
    <row r="22" spans="1:25" x14ac:dyDescent="0.25">
      <c r="A22" t="s">
        <v>97</v>
      </c>
      <c r="B22" t="s">
        <v>119</v>
      </c>
      <c r="C22" t="s">
        <v>125</v>
      </c>
      <c r="D22" t="s">
        <v>128</v>
      </c>
      <c r="E22">
        <v>0</v>
      </c>
      <c r="F22">
        <v>1</v>
      </c>
      <c r="G22">
        <v>1.735689821931518</v>
      </c>
      <c r="H22">
        <v>2.6912164087038697</v>
      </c>
      <c r="I22">
        <v>3.3906495152798328</v>
      </c>
      <c r="J22">
        <v>3.9426818681372726</v>
      </c>
      <c r="K22" s="2">
        <v>1</v>
      </c>
      <c r="L22">
        <f t="shared" si="2"/>
        <v>0.735689821931518</v>
      </c>
      <c r="M22">
        <f t="shared" si="3"/>
        <v>0.95552658677235169</v>
      </c>
      <c r="N22">
        <f t="shared" si="4"/>
        <v>0.69943310657596314</v>
      </c>
      <c r="O22">
        <f t="shared" si="5"/>
        <v>0.55203235285743979</v>
      </c>
      <c r="P22" s="2">
        <f t="shared" si="6"/>
        <v>1000</v>
      </c>
      <c r="Q22">
        <f t="shared" si="7"/>
        <v>735.68982193151794</v>
      </c>
      <c r="R22">
        <f t="shared" si="8"/>
        <v>955.52658677235172</v>
      </c>
      <c r="S22">
        <f t="shared" si="9"/>
        <v>699.43310657596317</v>
      </c>
      <c r="T22">
        <f t="shared" si="10"/>
        <v>552.03235285743983</v>
      </c>
      <c r="U22" s="2">
        <f t="shared" si="11"/>
        <v>58.823529411764703</v>
      </c>
      <c r="V22">
        <f t="shared" si="12"/>
        <v>43.275871878324587</v>
      </c>
      <c r="W22">
        <f t="shared" si="13"/>
        <v>56.207446280726572</v>
      </c>
      <c r="X22">
        <f t="shared" si="14"/>
        <v>41.143123916233129</v>
      </c>
      <c r="Y22">
        <f t="shared" si="15"/>
        <v>32.472491344555287</v>
      </c>
    </row>
    <row r="23" spans="1:25" x14ac:dyDescent="0.25">
      <c r="A23" t="s">
        <v>105</v>
      </c>
      <c r="B23" t="s">
        <v>119</v>
      </c>
      <c r="C23" t="s">
        <v>125</v>
      </c>
      <c r="D23" t="s">
        <v>127</v>
      </c>
      <c r="E23">
        <v>0</v>
      </c>
      <c r="F23">
        <v>1</v>
      </c>
      <c r="G23">
        <v>1.735689821931518</v>
      </c>
      <c r="H23">
        <v>2.6912164087038697</v>
      </c>
      <c r="I23">
        <v>3.3906495152798328</v>
      </c>
      <c r="J23">
        <v>3.9426818681372726</v>
      </c>
      <c r="K23" s="2">
        <v>1</v>
      </c>
      <c r="L23">
        <f t="shared" si="2"/>
        <v>0.735689821931518</v>
      </c>
      <c r="M23">
        <f t="shared" si="3"/>
        <v>0.95552658677235169</v>
      </c>
      <c r="N23">
        <f t="shared" si="4"/>
        <v>0.69943310657596314</v>
      </c>
      <c r="O23">
        <f t="shared" si="5"/>
        <v>0.55203235285743979</v>
      </c>
      <c r="P23" s="2">
        <f t="shared" si="6"/>
        <v>1000</v>
      </c>
      <c r="Q23">
        <f t="shared" si="7"/>
        <v>735.68982193151794</v>
      </c>
      <c r="R23">
        <f t="shared" si="8"/>
        <v>955.52658677235172</v>
      </c>
      <c r="S23">
        <f t="shared" si="9"/>
        <v>699.43310657596317</v>
      </c>
      <c r="T23">
        <f t="shared" si="10"/>
        <v>552.03235285743983</v>
      </c>
      <c r="U23" s="2">
        <f t="shared" si="11"/>
        <v>58.823529411764703</v>
      </c>
      <c r="V23">
        <f t="shared" si="12"/>
        <v>43.275871878324587</v>
      </c>
      <c r="W23">
        <f t="shared" si="13"/>
        <v>56.207446280726572</v>
      </c>
      <c r="X23">
        <f t="shared" si="14"/>
        <v>41.143123916233129</v>
      </c>
      <c r="Y23">
        <f t="shared" si="15"/>
        <v>32.472491344555287</v>
      </c>
    </row>
    <row r="24" spans="1:25" x14ac:dyDescent="0.25">
      <c r="A24" t="s">
        <v>112</v>
      </c>
      <c r="B24" t="s">
        <v>119</v>
      </c>
      <c r="C24" t="s">
        <v>125</v>
      </c>
      <c r="D24" t="s">
        <v>128</v>
      </c>
      <c r="E24">
        <v>0</v>
      </c>
      <c r="F24">
        <v>1</v>
      </c>
      <c r="G24">
        <v>1.735689821931518</v>
      </c>
      <c r="H24">
        <v>2.6912164087038697</v>
      </c>
      <c r="I24">
        <v>3.3906495152798328</v>
      </c>
      <c r="J24">
        <v>3.9426818681372726</v>
      </c>
      <c r="K24" s="2">
        <v>1</v>
      </c>
      <c r="L24">
        <f t="shared" si="2"/>
        <v>0.735689821931518</v>
      </c>
      <c r="M24">
        <f t="shared" si="3"/>
        <v>0.95552658677235169</v>
      </c>
      <c r="N24">
        <f t="shared" si="4"/>
        <v>0.69943310657596314</v>
      </c>
      <c r="O24">
        <f t="shared" si="5"/>
        <v>0.55203235285743979</v>
      </c>
      <c r="P24" s="2">
        <f t="shared" si="6"/>
        <v>1000</v>
      </c>
      <c r="Q24">
        <f t="shared" si="7"/>
        <v>735.68982193151794</v>
      </c>
      <c r="R24">
        <f t="shared" si="8"/>
        <v>955.52658677235172</v>
      </c>
      <c r="S24">
        <f t="shared" si="9"/>
        <v>699.43310657596317</v>
      </c>
      <c r="T24">
        <f t="shared" si="10"/>
        <v>552.03235285743983</v>
      </c>
      <c r="U24" s="2">
        <f t="shared" si="11"/>
        <v>58.823529411764703</v>
      </c>
      <c r="V24">
        <f t="shared" si="12"/>
        <v>43.275871878324587</v>
      </c>
      <c r="W24">
        <f t="shared" si="13"/>
        <v>56.207446280726572</v>
      </c>
      <c r="X24">
        <f t="shared" si="14"/>
        <v>41.143123916233129</v>
      </c>
      <c r="Y24">
        <f t="shared" si="15"/>
        <v>32.472491344555287</v>
      </c>
    </row>
    <row r="25" spans="1:25" x14ac:dyDescent="0.25">
      <c r="A25" t="s">
        <v>48</v>
      </c>
      <c r="B25" t="s">
        <v>117</v>
      </c>
      <c r="C25" t="s">
        <v>121</v>
      </c>
      <c r="D25" t="s">
        <v>122</v>
      </c>
      <c r="E25">
        <v>0</v>
      </c>
      <c r="F25">
        <v>1</v>
      </c>
      <c r="G25">
        <v>1.735689821931518</v>
      </c>
      <c r="H25">
        <v>2.6912164087038697</v>
      </c>
      <c r="I25">
        <v>3.4006775214540217</v>
      </c>
      <c r="J25">
        <v>3.9478783063754594</v>
      </c>
      <c r="K25" s="2">
        <v>1</v>
      </c>
      <c r="L25">
        <f t="shared" si="2"/>
        <v>0.735689821931518</v>
      </c>
      <c r="M25">
        <f t="shared" si="3"/>
        <v>0.95552658677235169</v>
      </c>
      <c r="N25">
        <f t="shared" si="4"/>
        <v>0.709461112750152</v>
      </c>
      <c r="O25">
        <f t="shared" si="5"/>
        <v>0.54720078492143776</v>
      </c>
      <c r="P25" s="2">
        <f t="shared" si="6"/>
        <v>1000</v>
      </c>
      <c r="Q25">
        <f t="shared" si="7"/>
        <v>735.68982193151794</v>
      </c>
      <c r="R25">
        <f t="shared" si="8"/>
        <v>955.52658677235172</v>
      </c>
      <c r="S25">
        <f t="shared" si="9"/>
        <v>709.46111275015198</v>
      </c>
      <c r="T25">
        <f t="shared" si="10"/>
        <v>547.20078492143773</v>
      </c>
      <c r="U25" s="2">
        <f t="shared" si="11"/>
        <v>58.823529411764703</v>
      </c>
      <c r="V25">
        <f t="shared" si="12"/>
        <v>43.275871878324587</v>
      </c>
      <c r="W25">
        <f t="shared" si="13"/>
        <v>56.207446280726572</v>
      </c>
      <c r="X25">
        <f t="shared" si="14"/>
        <v>41.733006632361878</v>
      </c>
      <c r="Y25">
        <f t="shared" si="15"/>
        <v>32.188281465966924</v>
      </c>
    </row>
    <row r="26" spans="1:25" x14ac:dyDescent="0.25">
      <c r="A26" t="s">
        <v>49</v>
      </c>
      <c r="B26" t="s">
        <v>117</v>
      </c>
      <c r="C26" t="s">
        <v>121</v>
      </c>
      <c r="D26" t="s">
        <v>123</v>
      </c>
      <c r="E26">
        <v>0</v>
      </c>
      <c r="F26">
        <v>1</v>
      </c>
      <c r="G26">
        <v>1.735689821931518</v>
      </c>
      <c r="H26">
        <v>2.6912164087038697</v>
      </c>
      <c r="I26">
        <v>3.4006775214540217</v>
      </c>
      <c r="J26">
        <v>3.9478783063754594</v>
      </c>
      <c r="K26" s="2">
        <v>1</v>
      </c>
      <c r="L26">
        <f t="shared" si="2"/>
        <v>0.735689821931518</v>
      </c>
      <c r="M26">
        <f t="shared" si="3"/>
        <v>0.95552658677235169</v>
      </c>
      <c r="N26">
        <f t="shared" si="4"/>
        <v>0.709461112750152</v>
      </c>
      <c r="O26">
        <f t="shared" si="5"/>
        <v>0.54720078492143776</v>
      </c>
      <c r="P26" s="2">
        <f t="shared" si="6"/>
        <v>1000</v>
      </c>
      <c r="Q26">
        <f t="shared" si="7"/>
        <v>735.68982193151794</v>
      </c>
      <c r="R26">
        <f t="shared" si="8"/>
        <v>955.52658677235172</v>
      </c>
      <c r="S26">
        <f t="shared" si="9"/>
        <v>709.46111275015198</v>
      </c>
      <c r="T26">
        <f t="shared" si="10"/>
        <v>547.20078492143773</v>
      </c>
      <c r="U26" s="2">
        <f t="shared" si="11"/>
        <v>58.823529411764703</v>
      </c>
      <c r="V26">
        <f t="shared" si="12"/>
        <v>43.275871878324587</v>
      </c>
      <c r="W26">
        <f t="shared" si="13"/>
        <v>56.207446280726572</v>
      </c>
      <c r="X26">
        <f t="shared" si="14"/>
        <v>41.733006632361878</v>
      </c>
      <c r="Y26">
        <f t="shared" si="15"/>
        <v>32.188281465966924</v>
      </c>
    </row>
    <row r="27" spans="1:25" x14ac:dyDescent="0.25">
      <c r="A27" t="s">
        <v>66</v>
      </c>
      <c r="B27" t="s">
        <v>117</v>
      </c>
      <c r="C27" t="s">
        <v>121</v>
      </c>
      <c r="D27" t="s">
        <v>130</v>
      </c>
      <c r="E27">
        <v>0</v>
      </c>
      <c r="F27">
        <v>1</v>
      </c>
      <c r="G27">
        <v>1.735689821931518</v>
      </c>
      <c r="H27">
        <v>2.6912164087038697</v>
      </c>
      <c r="I27">
        <v>3.4006775214540217</v>
      </c>
      <c r="J27">
        <v>3.9478783063754594</v>
      </c>
      <c r="K27" s="2">
        <v>1</v>
      </c>
      <c r="L27">
        <f t="shared" si="2"/>
        <v>0.735689821931518</v>
      </c>
      <c r="M27">
        <f t="shared" si="3"/>
        <v>0.95552658677235169</v>
      </c>
      <c r="N27">
        <f t="shared" si="4"/>
        <v>0.709461112750152</v>
      </c>
      <c r="O27">
        <f t="shared" si="5"/>
        <v>0.54720078492143776</v>
      </c>
      <c r="P27" s="2">
        <f t="shared" si="6"/>
        <v>1000</v>
      </c>
      <c r="Q27">
        <f t="shared" si="7"/>
        <v>735.68982193151794</v>
      </c>
      <c r="R27">
        <f t="shared" si="8"/>
        <v>955.52658677235172</v>
      </c>
      <c r="S27">
        <f t="shared" si="9"/>
        <v>709.46111275015198</v>
      </c>
      <c r="T27">
        <f t="shared" si="10"/>
        <v>547.20078492143773</v>
      </c>
      <c r="U27" s="2">
        <f t="shared" si="11"/>
        <v>58.823529411764703</v>
      </c>
      <c r="V27">
        <f t="shared" si="12"/>
        <v>43.275871878324587</v>
      </c>
      <c r="W27">
        <f t="shared" si="13"/>
        <v>56.207446280726572</v>
      </c>
      <c r="X27">
        <f t="shared" si="14"/>
        <v>41.733006632361878</v>
      </c>
      <c r="Y27">
        <f t="shared" si="15"/>
        <v>32.188281465966924</v>
      </c>
    </row>
    <row r="28" spans="1:25" x14ac:dyDescent="0.25">
      <c r="A28" t="s">
        <v>67</v>
      </c>
      <c r="B28" t="s">
        <v>117</v>
      </c>
      <c r="C28" t="s">
        <v>121</v>
      </c>
      <c r="D28" t="s">
        <v>124</v>
      </c>
      <c r="E28">
        <v>0</v>
      </c>
      <c r="F28">
        <v>1</v>
      </c>
      <c r="G28">
        <v>1.735689821931518</v>
      </c>
      <c r="H28">
        <v>2.6912164087038697</v>
      </c>
      <c r="I28">
        <v>3.4006775214540217</v>
      </c>
      <c r="J28">
        <v>3.9478783063754594</v>
      </c>
      <c r="K28" s="2">
        <v>1</v>
      </c>
      <c r="L28">
        <f t="shared" si="2"/>
        <v>0.735689821931518</v>
      </c>
      <c r="M28">
        <f t="shared" si="3"/>
        <v>0.95552658677235169</v>
      </c>
      <c r="N28">
        <f t="shared" si="4"/>
        <v>0.709461112750152</v>
      </c>
      <c r="O28">
        <f t="shared" si="5"/>
        <v>0.54720078492143776</v>
      </c>
      <c r="P28" s="2">
        <f t="shared" si="6"/>
        <v>1000</v>
      </c>
      <c r="Q28">
        <f t="shared" si="7"/>
        <v>735.68982193151794</v>
      </c>
      <c r="R28">
        <f t="shared" si="8"/>
        <v>955.52658677235172</v>
      </c>
      <c r="S28">
        <f t="shared" si="9"/>
        <v>709.46111275015198</v>
      </c>
      <c r="T28">
        <f t="shared" si="10"/>
        <v>547.20078492143773</v>
      </c>
      <c r="U28" s="2">
        <f t="shared" si="11"/>
        <v>58.823529411764703</v>
      </c>
      <c r="V28">
        <f t="shared" si="12"/>
        <v>43.275871878324587</v>
      </c>
      <c r="W28">
        <f t="shared" si="13"/>
        <v>56.207446280726572</v>
      </c>
      <c r="X28">
        <f t="shared" si="14"/>
        <v>41.733006632361878</v>
      </c>
      <c r="Y28">
        <f t="shared" si="15"/>
        <v>32.188281465966924</v>
      </c>
    </row>
    <row r="29" spans="1:25" x14ac:dyDescent="0.25">
      <c r="A29" t="s">
        <v>82</v>
      </c>
      <c r="B29" t="s">
        <v>117</v>
      </c>
      <c r="C29" t="s">
        <v>121</v>
      </c>
      <c r="D29" t="s">
        <v>130</v>
      </c>
      <c r="E29">
        <v>0</v>
      </c>
      <c r="F29">
        <v>1</v>
      </c>
      <c r="G29">
        <v>1.735689821931518</v>
      </c>
      <c r="H29">
        <v>2.6912164087038697</v>
      </c>
      <c r="I29">
        <v>3.4006775214540217</v>
      </c>
      <c r="J29">
        <v>3.9478783063754594</v>
      </c>
      <c r="K29" s="2">
        <v>1</v>
      </c>
      <c r="L29">
        <f t="shared" si="2"/>
        <v>0.735689821931518</v>
      </c>
      <c r="M29">
        <f t="shared" si="3"/>
        <v>0.95552658677235169</v>
      </c>
      <c r="N29">
        <f t="shared" si="4"/>
        <v>0.709461112750152</v>
      </c>
      <c r="O29">
        <f t="shared" si="5"/>
        <v>0.54720078492143776</v>
      </c>
      <c r="P29" s="2">
        <f t="shared" si="6"/>
        <v>1000</v>
      </c>
      <c r="Q29">
        <f t="shared" si="7"/>
        <v>735.68982193151794</v>
      </c>
      <c r="R29">
        <f t="shared" si="8"/>
        <v>955.52658677235172</v>
      </c>
      <c r="S29">
        <f t="shared" si="9"/>
        <v>709.46111275015198</v>
      </c>
      <c r="T29">
        <f t="shared" si="10"/>
        <v>547.20078492143773</v>
      </c>
      <c r="U29" s="2">
        <f t="shared" si="11"/>
        <v>58.823529411764703</v>
      </c>
      <c r="V29">
        <f t="shared" si="12"/>
        <v>43.275871878324587</v>
      </c>
      <c r="W29">
        <f t="shared" si="13"/>
        <v>56.207446280726572</v>
      </c>
      <c r="X29">
        <f t="shared" si="14"/>
        <v>41.733006632361878</v>
      </c>
      <c r="Y29">
        <f t="shared" si="15"/>
        <v>32.188281465966924</v>
      </c>
    </row>
    <row r="30" spans="1:25" x14ac:dyDescent="0.25">
      <c r="A30" t="s">
        <v>83</v>
      </c>
      <c r="B30" t="s">
        <v>117</v>
      </c>
      <c r="C30" t="s">
        <v>121</v>
      </c>
      <c r="D30" t="s">
        <v>123</v>
      </c>
      <c r="E30">
        <v>0</v>
      </c>
      <c r="F30">
        <v>1</v>
      </c>
      <c r="G30">
        <v>1.735689821931518</v>
      </c>
      <c r="H30">
        <v>2.6912164087038697</v>
      </c>
      <c r="I30">
        <v>3.4006775214540217</v>
      </c>
      <c r="J30">
        <v>3.9478783063754594</v>
      </c>
      <c r="K30" s="2">
        <v>1</v>
      </c>
      <c r="L30">
        <f t="shared" si="2"/>
        <v>0.735689821931518</v>
      </c>
      <c r="M30">
        <f t="shared" si="3"/>
        <v>0.95552658677235169</v>
      </c>
      <c r="N30">
        <f t="shared" si="4"/>
        <v>0.709461112750152</v>
      </c>
      <c r="O30">
        <f t="shared" si="5"/>
        <v>0.54720078492143776</v>
      </c>
      <c r="P30" s="2">
        <f t="shared" si="6"/>
        <v>1000</v>
      </c>
      <c r="Q30">
        <f t="shared" si="7"/>
        <v>735.68982193151794</v>
      </c>
      <c r="R30">
        <f t="shared" si="8"/>
        <v>955.52658677235172</v>
      </c>
      <c r="S30">
        <f t="shared" si="9"/>
        <v>709.46111275015198</v>
      </c>
      <c r="T30">
        <f t="shared" si="10"/>
        <v>547.20078492143773</v>
      </c>
      <c r="U30" s="2">
        <f t="shared" si="11"/>
        <v>58.823529411764703</v>
      </c>
      <c r="V30">
        <f t="shared" si="12"/>
        <v>43.275871878324587</v>
      </c>
      <c r="W30">
        <f t="shared" si="13"/>
        <v>56.207446280726572</v>
      </c>
      <c r="X30">
        <f t="shared" si="14"/>
        <v>41.733006632361878</v>
      </c>
      <c r="Y30">
        <f t="shared" si="15"/>
        <v>32.188281465966924</v>
      </c>
    </row>
    <row r="31" spans="1:25" x14ac:dyDescent="0.25">
      <c r="A31" t="s">
        <v>91</v>
      </c>
      <c r="B31" t="s">
        <v>117</v>
      </c>
      <c r="C31" t="s">
        <v>121</v>
      </c>
      <c r="D31" t="s">
        <v>124</v>
      </c>
      <c r="E31">
        <v>0</v>
      </c>
      <c r="F31">
        <v>1</v>
      </c>
      <c r="G31">
        <v>1.735689821931518</v>
      </c>
      <c r="H31">
        <v>2.6912164087038697</v>
      </c>
      <c r="I31">
        <v>3.4006775214540217</v>
      </c>
      <c r="J31">
        <v>3.9478783063754594</v>
      </c>
      <c r="K31" s="2">
        <v>1</v>
      </c>
      <c r="L31">
        <f t="shared" si="2"/>
        <v>0.735689821931518</v>
      </c>
      <c r="M31">
        <f t="shared" si="3"/>
        <v>0.95552658677235169</v>
      </c>
      <c r="N31">
        <f t="shared" si="4"/>
        <v>0.709461112750152</v>
      </c>
      <c r="O31">
        <f t="shared" si="5"/>
        <v>0.54720078492143776</v>
      </c>
      <c r="P31" s="2">
        <f t="shared" si="6"/>
        <v>1000</v>
      </c>
      <c r="Q31">
        <f t="shared" si="7"/>
        <v>735.68982193151794</v>
      </c>
      <c r="R31">
        <f t="shared" si="8"/>
        <v>955.52658677235172</v>
      </c>
      <c r="S31">
        <f t="shared" si="9"/>
        <v>709.46111275015198</v>
      </c>
      <c r="T31">
        <f t="shared" si="10"/>
        <v>547.20078492143773</v>
      </c>
      <c r="U31" s="2">
        <f t="shared" si="11"/>
        <v>58.823529411764703</v>
      </c>
      <c r="V31">
        <f t="shared" si="12"/>
        <v>43.275871878324587</v>
      </c>
      <c r="W31">
        <f t="shared" si="13"/>
        <v>56.207446280726572</v>
      </c>
      <c r="X31">
        <f t="shared" si="14"/>
        <v>41.733006632361878</v>
      </c>
      <c r="Y31">
        <f t="shared" si="15"/>
        <v>32.188281465966924</v>
      </c>
    </row>
    <row r="32" spans="1:25" x14ac:dyDescent="0.25">
      <c r="A32" t="s">
        <v>92</v>
      </c>
      <c r="B32" t="s">
        <v>117</v>
      </c>
      <c r="C32" t="s">
        <v>121</v>
      </c>
      <c r="D32" t="s">
        <v>122</v>
      </c>
      <c r="E32">
        <v>0</v>
      </c>
      <c r="F32">
        <v>1</v>
      </c>
      <c r="G32">
        <v>1.735689821931518</v>
      </c>
      <c r="H32">
        <v>2.6912164087038697</v>
      </c>
      <c r="I32">
        <v>3.4006775214540217</v>
      </c>
      <c r="J32">
        <v>3.9478783063754594</v>
      </c>
      <c r="K32" s="2">
        <v>1</v>
      </c>
      <c r="L32">
        <f t="shared" si="2"/>
        <v>0.735689821931518</v>
      </c>
      <c r="M32">
        <f t="shared" si="3"/>
        <v>0.95552658677235169</v>
      </c>
      <c r="N32">
        <f t="shared" si="4"/>
        <v>0.709461112750152</v>
      </c>
      <c r="O32">
        <f t="shared" si="5"/>
        <v>0.54720078492143776</v>
      </c>
      <c r="P32" s="2">
        <f t="shared" si="6"/>
        <v>1000</v>
      </c>
      <c r="Q32">
        <f t="shared" si="7"/>
        <v>735.68982193151794</v>
      </c>
      <c r="R32">
        <f t="shared" si="8"/>
        <v>955.52658677235172</v>
      </c>
      <c r="S32">
        <f t="shared" si="9"/>
        <v>709.46111275015198</v>
      </c>
      <c r="T32">
        <f t="shared" si="10"/>
        <v>547.20078492143773</v>
      </c>
      <c r="U32" s="2">
        <f t="shared" si="11"/>
        <v>58.823529411764703</v>
      </c>
      <c r="V32">
        <f t="shared" si="12"/>
        <v>43.275871878324587</v>
      </c>
      <c r="W32">
        <f t="shared" si="13"/>
        <v>56.207446280726572</v>
      </c>
      <c r="X32">
        <f t="shared" si="14"/>
        <v>41.733006632361878</v>
      </c>
      <c r="Y32">
        <f t="shared" si="15"/>
        <v>32.188281465966924</v>
      </c>
    </row>
    <row r="33" spans="1:25" x14ac:dyDescent="0.25">
      <c r="A33" t="s">
        <v>52</v>
      </c>
      <c r="B33" t="s">
        <v>113</v>
      </c>
      <c r="C33" t="s">
        <v>121</v>
      </c>
      <c r="D33" t="s">
        <v>124</v>
      </c>
      <c r="E33">
        <v>0</v>
      </c>
      <c r="F33">
        <v>1</v>
      </c>
      <c r="G33">
        <v>1.735689821931518</v>
      </c>
      <c r="H33">
        <v>2.6912164087038697</v>
      </c>
      <c r="I33">
        <v>3.4026676558694016</v>
      </c>
      <c r="J33">
        <v>3.9498684407908398</v>
      </c>
      <c r="K33" s="2">
        <v>1</v>
      </c>
      <c r="L33">
        <f t="shared" si="2"/>
        <v>0.735689821931518</v>
      </c>
      <c r="M33">
        <f t="shared" si="3"/>
        <v>0.95552658677235169</v>
      </c>
      <c r="N33">
        <f t="shared" si="4"/>
        <v>0.71145124716553187</v>
      </c>
      <c r="O33">
        <f t="shared" si="5"/>
        <v>0.5472007849214382</v>
      </c>
      <c r="P33" s="2">
        <f t="shared" si="6"/>
        <v>1000</v>
      </c>
      <c r="Q33">
        <f t="shared" si="7"/>
        <v>735.68982193151794</v>
      </c>
      <c r="R33">
        <f t="shared" si="8"/>
        <v>955.52658677235172</v>
      </c>
      <c r="S33">
        <f t="shared" si="9"/>
        <v>711.45124716553187</v>
      </c>
      <c r="T33">
        <f t="shared" si="10"/>
        <v>547.20078492143818</v>
      </c>
      <c r="U33" s="2">
        <f t="shared" si="11"/>
        <v>58.823529411764703</v>
      </c>
      <c r="V33">
        <f t="shared" si="12"/>
        <v>43.275871878324587</v>
      </c>
      <c r="W33">
        <f t="shared" si="13"/>
        <v>56.207446280726572</v>
      </c>
      <c r="X33">
        <f t="shared" si="14"/>
        <v>41.850073362678344</v>
      </c>
      <c r="Y33">
        <f t="shared" si="15"/>
        <v>32.188281465966952</v>
      </c>
    </row>
    <row r="34" spans="1:25" x14ac:dyDescent="0.25">
      <c r="A34" t="s">
        <v>53</v>
      </c>
      <c r="B34" t="s">
        <v>113</v>
      </c>
      <c r="C34" t="s">
        <v>121</v>
      </c>
      <c r="D34" t="s">
        <v>122</v>
      </c>
      <c r="E34">
        <v>0</v>
      </c>
      <c r="F34">
        <v>1</v>
      </c>
      <c r="G34">
        <v>1.735689821931518</v>
      </c>
      <c r="H34">
        <v>2.6912164087038697</v>
      </c>
      <c r="I34">
        <v>3.4026676558694016</v>
      </c>
      <c r="J34">
        <v>3.9498684407908398</v>
      </c>
      <c r="K34" s="2">
        <v>1</v>
      </c>
      <c r="L34">
        <f t="shared" si="2"/>
        <v>0.735689821931518</v>
      </c>
      <c r="M34">
        <f t="shared" si="3"/>
        <v>0.95552658677235169</v>
      </c>
      <c r="N34">
        <f t="shared" si="4"/>
        <v>0.71145124716553187</v>
      </c>
      <c r="O34">
        <f t="shared" si="5"/>
        <v>0.5472007849214382</v>
      </c>
      <c r="P34" s="2">
        <f t="shared" si="6"/>
        <v>1000</v>
      </c>
      <c r="Q34">
        <f t="shared" si="7"/>
        <v>735.68982193151794</v>
      </c>
      <c r="R34">
        <f t="shared" si="8"/>
        <v>955.52658677235172</v>
      </c>
      <c r="S34">
        <f t="shared" si="9"/>
        <v>711.45124716553187</v>
      </c>
      <c r="T34">
        <f t="shared" si="10"/>
        <v>547.20078492143818</v>
      </c>
      <c r="U34" s="2">
        <f t="shared" si="11"/>
        <v>58.823529411764703</v>
      </c>
      <c r="V34">
        <f t="shared" si="12"/>
        <v>43.275871878324587</v>
      </c>
      <c r="W34">
        <f t="shared" si="13"/>
        <v>56.207446280726572</v>
      </c>
      <c r="X34">
        <f t="shared" si="14"/>
        <v>41.850073362678344</v>
      </c>
      <c r="Y34">
        <f t="shared" si="15"/>
        <v>32.188281465966952</v>
      </c>
    </row>
    <row r="35" spans="1:25" x14ac:dyDescent="0.25">
      <c r="A35" t="s">
        <v>70</v>
      </c>
      <c r="B35" t="s">
        <v>113</v>
      </c>
      <c r="C35" t="s">
        <v>121</v>
      </c>
      <c r="D35" t="s">
        <v>130</v>
      </c>
      <c r="E35">
        <v>0</v>
      </c>
      <c r="F35">
        <v>1</v>
      </c>
      <c r="G35">
        <v>1.735689821931518</v>
      </c>
      <c r="H35">
        <v>2.6912164087038697</v>
      </c>
      <c r="I35">
        <v>3.4026676558694016</v>
      </c>
      <c r="J35">
        <v>3.9498684407908398</v>
      </c>
      <c r="K35" s="2">
        <v>1</v>
      </c>
      <c r="L35">
        <f t="shared" si="2"/>
        <v>0.735689821931518</v>
      </c>
      <c r="M35">
        <f t="shared" si="3"/>
        <v>0.95552658677235169</v>
      </c>
      <c r="N35">
        <f t="shared" si="4"/>
        <v>0.71145124716553187</v>
      </c>
      <c r="O35">
        <f t="shared" si="5"/>
        <v>0.5472007849214382</v>
      </c>
      <c r="P35" s="2">
        <f t="shared" si="6"/>
        <v>1000</v>
      </c>
      <c r="Q35">
        <f t="shared" si="7"/>
        <v>735.68982193151794</v>
      </c>
      <c r="R35">
        <f t="shared" si="8"/>
        <v>955.52658677235172</v>
      </c>
      <c r="S35">
        <f t="shared" si="9"/>
        <v>711.45124716553187</v>
      </c>
      <c r="T35">
        <f t="shared" si="10"/>
        <v>547.20078492143818</v>
      </c>
      <c r="U35" s="2">
        <f t="shared" si="11"/>
        <v>58.823529411764703</v>
      </c>
      <c r="V35">
        <f t="shared" si="12"/>
        <v>43.275871878324587</v>
      </c>
      <c r="W35">
        <f t="shared" si="13"/>
        <v>56.207446280726572</v>
      </c>
      <c r="X35">
        <f t="shared" si="14"/>
        <v>41.850073362678344</v>
      </c>
      <c r="Y35">
        <f t="shared" si="15"/>
        <v>32.188281465966952</v>
      </c>
    </row>
    <row r="36" spans="1:25" x14ac:dyDescent="0.25">
      <c r="A36" t="s">
        <v>71</v>
      </c>
      <c r="B36" t="s">
        <v>113</v>
      </c>
      <c r="C36" t="s">
        <v>121</v>
      </c>
      <c r="D36" t="s">
        <v>123</v>
      </c>
      <c r="E36">
        <v>0</v>
      </c>
      <c r="F36">
        <v>1</v>
      </c>
      <c r="G36">
        <v>1.735689821931518</v>
      </c>
      <c r="H36">
        <v>2.6912164087038697</v>
      </c>
      <c r="I36">
        <v>3.4026676558694016</v>
      </c>
      <c r="J36">
        <v>3.9498684407908398</v>
      </c>
      <c r="K36" s="2">
        <v>1</v>
      </c>
      <c r="L36">
        <f t="shared" si="2"/>
        <v>0.735689821931518</v>
      </c>
      <c r="M36">
        <f t="shared" si="3"/>
        <v>0.95552658677235169</v>
      </c>
      <c r="N36">
        <f t="shared" si="4"/>
        <v>0.71145124716553187</v>
      </c>
      <c r="O36">
        <f t="shared" si="5"/>
        <v>0.5472007849214382</v>
      </c>
      <c r="P36" s="2">
        <f t="shared" si="6"/>
        <v>1000</v>
      </c>
      <c r="Q36">
        <f t="shared" si="7"/>
        <v>735.68982193151794</v>
      </c>
      <c r="R36">
        <f t="shared" si="8"/>
        <v>955.52658677235172</v>
      </c>
      <c r="S36">
        <f t="shared" si="9"/>
        <v>711.45124716553187</v>
      </c>
      <c r="T36">
        <f t="shared" si="10"/>
        <v>547.20078492143818</v>
      </c>
      <c r="U36" s="2">
        <f t="shared" si="11"/>
        <v>58.823529411764703</v>
      </c>
      <c r="V36">
        <f t="shared" si="12"/>
        <v>43.275871878324587</v>
      </c>
      <c r="W36">
        <f t="shared" si="13"/>
        <v>56.207446280726572</v>
      </c>
      <c r="X36">
        <f t="shared" si="14"/>
        <v>41.850073362678344</v>
      </c>
      <c r="Y36">
        <f t="shared" si="15"/>
        <v>32.188281465966952</v>
      </c>
    </row>
    <row r="37" spans="1:25" x14ac:dyDescent="0.25">
      <c r="A37" t="s">
        <v>81</v>
      </c>
      <c r="B37" t="s">
        <v>113</v>
      </c>
      <c r="C37" t="s">
        <v>121</v>
      </c>
      <c r="D37" t="s">
        <v>130</v>
      </c>
      <c r="E37">
        <v>0</v>
      </c>
      <c r="F37">
        <v>1</v>
      </c>
      <c r="G37">
        <v>1.735689821931518</v>
      </c>
      <c r="H37">
        <v>2.6912164087038697</v>
      </c>
      <c r="I37">
        <v>3.4026676558694016</v>
      </c>
      <c r="J37">
        <v>3.9498684407908398</v>
      </c>
      <c r="K37" s="2">
        <v>1</v>
      </c>
      <c r="L37">
        <f t="shared" si="2"/>
        <v>0.735689821931518</v>
      </c>
      <c r="M37">
        <f t="shared" si="3"/>
        <v>0.95552658677235169</v>
      </c>
      <c r="N37">
        <f t="shared" si="4"/>
        <v>0.71145124716553187</v>
      </c>
      <c r="O37">
        <f t="shared" si="5"/>
        <v>0.5472007849214382</v>
      </c>
      <c r="P37" s="2">
        <f t="shared" si="6"/>
        <v>1000</v>
      </c>
      <c r="Q37">
        <f t="shared" si="7"/>
        <v>735.68982193151794</v>
      </c>
      <c r="R37">
        <f t="shared" si="8"/>
        <v>955.52658677235172</v>
      </c>
      <c r="S37">
        <f t="shared" si="9"/>
        <v>711.45124716553187</v>
      </c>
      <c r="T37">
        <f t="shared" si="10"/>
        <v>547.20078492143818</v>
      </c>
      <c r="U37" s="2">
        <f t="shared" si="11"/>
        <v>58.823529411764703</v>
      </c>
      <c r="V37">
        <f t="shared" si="12"/>
        <v>43.275871878324587</v>
      </c>
      <c r="W37">
        <f t="shared" si="13"/>
        <v>56.207446280726572</v>
      </c>
      <c r="X37">
        <f t="shared" si="14"/>
        <v>41.850073362678344</v>
      </c>
      <c r="Y37">
        <f t="shared" si="15"/>
        <v>32.188281465966952</v>
      </c>
    </row>
    <row r="38" spans="1:25" x14ac:dyDescent="0.25">
      <c r="A38" t="s">
        <v>102</v>
      </c>
      <c r="B38" t="s">
        <v>113</v>
      </c>
      <c r="C38" t="s">
        <v>121</v>
      </c>
      <c r="D38" t="s">
        <v>124</v>
      </c>
      <c r="E38">
        <v>0</v>
      </c>
      <c r="F38">
        <v>1</v>
      </c>
      <c r="G38">
        <v>1.735689821931518</v>
      </c>
      <c r="H38">
        <v>2.6912164087038697</v>
      </c>
      <c r="I38">
        <v>3.4026676558694016</v>
      </c>
      <c r="J38">
        <v>3.9498684407908398</v>
      </c>
      <c r="K38" s="2">
        <v>1</v>
      </c>
      <c r="L38">
        <f t="shared" si="2"/>
        <v>0.735689821931518</v>
      </c>
      <c r="M38">
        <f t="shared" si="3"/>
        <v>0.95552658677235169</v>
      </c>
      <c r="N38">
        <f t="shared" si="4"/>
        <v>0.71145124716553187</v>
      </c>
      <c r="O38">
        <f t="shared" si="5"/>
        <v>0.5472007849214382</v>
      </c>
      <c r="P38" s="2">
        <f t="shared" si="6"/>
        <v>1000</v>
      </c>
      <c r="Q38">
        <f t="shared" si="7"/>
        <v>735.68982193151794</v>
      </c>
      <c r="R38">
        <f t="shared" si="8"/>
        <v>955.52658677235172</v>
      </c>
      <c r="S38">
        <f t="shared" si="9"/>
        <v>711.45124716553187</v>
      </c>
      <c r="T38">
        <f t="shared" si="10"/>
        <v>547.20078492143818</v>
      </c>
      <c r="U38" s="2">
        <f t="shared" si="11"/>
        <v>58.823529411764703</v>
      </c>
      <c r="V38">
        <f t="shared" si="12"/>
        <v>43.275871878324587</v>
      </c>
      <c r="W38">
        <f t="shared" si="13"/>
        <v>56.207446280726572</v>
      </c>
      <c r="X38">
        <f t="shared" si="14"/>
        <v>41.850073362678344</v>
      </c>
      <c r="Y38">
        <f t="shared" si="15"/>
        <v>32.188281465966952</v>
      </c>
    </row>
    <row r="39" spans="1:25" x14ac:dyDescent="0.25">
      <c r="A39" t="s">
        <v>109</v>
      </c>
      <c r="B39" t="s">
        <v>113</v>
      </c>
      <c r="C39" t="s">
        <v>121</v>
      </c>
      <c r="D39" t="s">
        <v>122</v>
      </c>
      <c r="E39">
        <v>0</v>
      </c>
      <c r="F39">
        <v>1</v>
      </c>
      <c r="G39">
        <v>1.735689821931518</v>
      </c>
      <c r="H39">
        <v>2.6912164087038697</v>
      </c>
      <c r="I39">
        <v>3.4026676558694016</v>
      </c>
      <c r="J39">
        <v>3.9498684407908398</v>
      </c>
      <c r="K39" s="2">
        <v>1</v>
      </c>
      <c r="L39">
        <f t="shared" si="2"/>
        <v>0.735689821931518</v>
      </c>
      <c r="M39">
        <f t="shared" si="3"/>
        <v>0.95552658677235169</v>
      </c>
      <c r="N39">
        <f t="shared" si="4"/>
        <v>0.71145124716553187</v>
      </c>
      <c r="O39">
        <f t="shared" si="5"/>
        <v>0.5472007849214382</v>
      </c>
      <c r="P39" s="2">
        <f t="shared" si="6"/>
        <v>1000</v>
      </c>
      <c r="Q39">
        <f t="shared" si="7"/>
        <v>735.68982193151794</v>
      </c>
      <c r="R39">
        <f t="shared" si="8"/>
        <v>955.52658677235172</v>
      </c>
      <c r="S39">
        <f t="shared" si="9"/>
        <v>711.45124716553187</v>
      </c>
      <c r="T39">
        <f t="shared" si="10"/>
        <v>547.20078492143818</v>
      </c>
      <c r="U39" s="2">
        <f t="shared" si="11"/>
        <v>58.823529411764703</v>
      </c>
      <c r="V39">
        <f t="shared" si="12"/>
        <v>43.275871878324587</v>
      </c>
      <c r="W39">
        <f t="shared" si="13"/>
        <v>56.207446280726572</v>
      </c>
      <c r="X39">
        <f t="shared" si="14"/>
        <v>41.850073362678344</v>
      </c>
      <c r="Y39">
        <f t="shared" si="15"/>
        <v>32.188281465966952</v>
      </c>
    </row>
    <row r="40" spans="1:25" x14ac:dyDescent="0.25">
      <c r="A40" t="s">
        <v>51</v>
      </c>
      <c r="B40" t="s">
        <v>120</v>
      </c>
      <c r="C40" t="s">
        <v>121</v>
      </c>
      <c r="D40" t="s">
        <v>122</v>
      </c>
      <c r="E40">
        <v>0</v>
      </c>
      <c r="F40">
        <v>1</v>
      </c>
      <c r="G40">
        <v>1.735689821931518</v>
      </c>
      <c r="H40">
        <v>2.6912164087038697</v>
      </c>
      <c r="I40">
        <v>3.4041642545088577</v>
      </c>
      <c r="J40">
        <v>3.9513650394302955</v>
      </c>
      <c r="K40" s="2">
        <v>1</v>
      </c>
      <c r="L40">
        <f t="shared" si="2"/>
        <v>0.735689821931518</v>
      </c>
      <c r="M40">
        <f t="shared" si="3"/>
        <v>0.95552658677235169</v>
      </c>
      <c r="N40">
        <f t="shared" si="4"/>
        <v>0.71294784580498805</v>
      </c>
      <c r="O40">
        <f t="shared" si="5"/>
        <v>0.54720078492143776</v>
      </c>
      <c r="P40" s="2">
        <f t="shared" si="6"/>
        <v>1000</v>
      </c>
      <c r="Q40">
        <f t="shared" si="7"/>
        <v>735.68982193151794</v>
      </c>
      <c r="R40">
        <f t="shared" si="8"/>
        <v>955.52658677235172</v>
      </c>
      <c r="S40">
        <f t="shared" si="9"/>
        <v>712.94784580498799</v>
      </c>
      <c r="T40">
        <f t="shared" si="10"/>
        <v>547.20078492143773</v>
      </c>
      <c r="U40" s="2">
        <f t="shared" si="11"/>
        <v>58.823529411764703</v>
      </c>
      <c r="V40">
        <f t="shared" si="12"/>
        <v>43.275871878324587</v>
      </c>
      <c r="W40">
        <f t="shared" si="13"/>
        <v>56.207446280726572</v>
      </c>
      <c r="X40">
        <f t="shared" si="14"/>
        <v>41.938108576764002</v>
      </c>
      <c r="Y40">
        <f t="shared" si="15"/>
        <v>32.188281465966924</v>
      </c>
    </row>
    <row r="41" spans="1:25" x14ac:dyDescent="0.25">
      <c r="A41" t="s">
        <v>68</v>
      </c>
      <c r="B41" t="s">
        <v>120</v>
      </c>
      <c r="C41" t="s">
        <v>121</v>
      </c>
      <c r="D41" t="s">
        <v>124</v>
      </c>
      <c r="E41">
        <v>0</v>
      </c>
      <c r="F41">
        <v>1</v>
      </c>
      <c r="G41">
        <v>1.735689821931518</v>
      </c>
      <c r="H41">
        <v>2.6912164087038697</v>
      </c>
      <c r="I41">
        <v>3.4041642545088577</v>
      </c>
      <c r="J41">
        <v>3.9513650394302955</v>
      </c>
      <c r="K41" s="2">
        <v>1</v>
      </c>
      <c r="L41">
        <f t="shared" si="2"/>
        <v>0.735689821931518</v>
      </c>
      <c r="M41">
        <f t="shared" si="3"/>
        <v>0.95552658677235169</v>
      </c>
      <c r="N41">
        <f t="shared" si="4"/>
        <v>0.71294784580498805</v>
      </c>
      <c r="O41">
        <f t="shared" si="5"/>
        <v>0.54720078492143776</v>
      </c>
      <c r="P41" s="2">
        <f t="shared" si="6"/>
        <v>1000</v>
      </c>
      <c r="Q41">
        <f t="shared" si="7"/>
        <v>735.68982193151794</v>
      </c>
      <c r="R41">
        <f t="shared" si="8"/>
        <v>955.52658677235172</v>
      </c>
      <c r="S41">
        <f t="shared" si="9"/>
        <v>712.94784580498799</v>
      </c>
      <c r="T41">
        <f t="shared" si="10"/>
        <v>547.20078492143773</v>
      </c>
      <c r="U41" s="2">
        <f t="shared" si="11"/>
        <v>58.823529411764703</v>
      </c>
      <c r="V41">
        <f t="shared" si="12"/>
        <v>43.275871878324587</v>
      </c>
      <c r="W41">
        <f t="shared" si="13"/>
        <v>56.207446280726572</v>
      </c>
      <c r="X41">
        <f t="shared" si="14"/>
        <v>41.938108576764002</v>
      </c>
      <c r="Y41">
        <f t="shared" si="15"/>
        <v>32.188281465966924</v>
      </c>
    </row>
    <row r="42" spans="1:25" x14ac:dyDescent="0.25">
      <c r="A42" t="s">
        <v>80</v>
      </c>
      <c r="B42" t="s">
        <v>120</v>
      </c>
      <c r="C42" t="s">
        <v>121</v>
      </c>
      <c r="D42" t="s">
        <v>123</v>
      </c>
      <c r="E42">
        <v>0</v>
      </c>
      <c r="F42">
        <v>1</v>
      </c>
      <c r="G42">
        <v>1.735689821931518</v>
      </c>
      <c r="H42">
        <v>2.6912164087038697</v>
      </c>
      <c r="I42">
        <v>3.4041642545088577</v>
      </c>
      <c r="J42">
        <v>3.9513650394302955</v>
      </c>
      <c r="K42" s="2">
        <v>1</v>
      </c>
      <c r="L42">
        <f t="shared" si="2"/>
        <v>0.735689821931518</v>
      </c>
      <c r="M42">
        <f t="shared" si="3"/>
        <v>0.95552658677235169</v>
      </c>
      <c r="N42">
        <f t="shared" si="4"/>
        <v>0.71294784580498805</v>
      </c>
      <c r="O42">
        <f t="shared" si="5"/>
        <v>0.54720078492143776</v>
      </c>
      <c r="P42" s="2">
        <f t="shared" si="6"/>
        <v>1000</v>
      </c>
      <c r="Q42">
        <f t="shared" si="7"/>
        <v>735.68982193151794</v>
      </c>
      <c r="R42">
        <f t="shared" si="8"/>
        <v>955.52658677235172</v>
      </c>
      <c r="S42">
        <f t="shared" si="9"/>
        <v>712.94784580498799</v>
      </c>
      <c r="T42">
        <f t="shared" si="10"/>
        <v>547.20078492143773</v>
      </c>
      <c r="U42" s="2">
        <f t="shared" si="11"/>
        <v>58.823529411764703</v>
      </c>
      <c r="V42">
        <f t="shared" si="12"/>
        <v>43.275871878324587</v>
      </c>
      <c r="W42">
        <f t="shared" si="13"/>
        <v>56.207446280726572</v>
      </c>
      <c r="X42">
        <f t="shared" si="14"/>
        <v>41.938108576764002</v>
      </c>
      <c r="Y42">
        <f t="shared" si="15"/>
        <v>32.188281465966924</v>
      </c>
    </row>
    <row r="43" spans="1:25" x14ac:dyDescent="0.25">
      <c r="A43" t="s">
        <v>103</v>
      </c>
      <c r="B43" t="s">
        <v>120</v>
      </c>
      <c r="C43" t="s">
        <v>121</v>
      </c>
      <c r="D43" t="s">
        <v>130</v>
      </c>
      <c r="E43">
        <v>0</v>
      </c>
      <c r="F43">
        <v>1</v>
      </c>
      <c r="G43">
        <v>1.735689821931518</v>
      </c>
      <c r="H43">
        <v>2.6912164087038697</v>
      </c>
      <c r="I43">
        <v>3.4041642545088577</v>
      </c>
      <c r="J43">
        <v>3.9513650394302955</v>
      </c>
      <c r="K43" s="2">
        <v>1</v>
      </c>
      <c r="L43">
        <f t="shared" si="2"/>
        <v>0.735689821931518</v>
      </c>
      <c r="M43">
        <f t="shared" si="3"/>
        <v>0.95552658677235169</v>
      </c>
      <c r="N43">
        <f t="shared" si="4"/>
        <v>0.71294784580498805</v>
      </c>
      <c r="O43">
        <f t="shared" si="5"/>
        <v>0.54720078492143776</v>
      </c>
      <c r="P43" s="2">
        <f t="shared" si="6"/>
        <v>1000</v>
      </c>
      <c r="Q43">
        <f t="shared" si="7"/>
        <v>735.68982193151794</v>
      </c>
      <c r="R43">
        <f t="shared" si="8"/>
        <v>955.52658677235172</v>
      </c>
      <c r="S43">
        <f t="shared" si="9"/>
        <v>712.94784580498799</v>
      </c>
      <c r="T43">
        <f t="shared" si="10"/>
        <v>547.20078492143773</v>
      </c>
      <c r="U43" s="2">
        <f t="shared" si="11"/>
        <v>58.823529411764703</v>
      </c>
      <c r="V43">
        <f t="shared" si="12"/>
        <v>43.275871878324587</v>
      </c>
      <c r="W43">
        <f t="shared" si="13"/>
        <v>56.207446280726572</v>
      </c>
      <c r="X43">
        <f t="shared" si="14"/>
        <v>41.938108576764002</v>
      </c>
      <c r="Y43">
        <f t="shared" si="15"/>
        <v>32.188281465966924</v>
      </c>
    </row>
    <row r="44" spans="1:25" x14ac:dyDescent="0.25">
      <c r="A44" t="s">
        <v>50</v>
      </c>
      <c r="B44" t="s">
        <v>119</v>
      </c>
      <c r="C44" t="s">
        <v>121</v>
      </c>
      <c r="D44" t="s">
        <v>123</v>
      </c>
      <c r="E44">
        <v>0</v>
      </c>
      <c r="F44">
        <v>1</v>
      </c>
      <c r="G44">
        <v>1.735689821931518</v>
      </c>
      <c r="H44">
        <v>2.6912164087038697</v>
      </c>
      <c r="I44">
        <v>3.3906495152798328</v>
      </c>
      <c r="J44">
        <v>3.937850300201271</v>
      </c>
      <c r="K44" s="2">
        <v>1</v>
      </c>
      <c r="L44">
        <f t="shared" si="2"/>
        <v>0.735689821931518</v>
      </c>
      <c r="M44">
        <f t="shared" si="3"/>
        <v>0.95552658677235169</v>
      </c>
      <c r="N44">
        <f t="shared" si="4"/>
        <v>0.69943310657596314</v>
      </c>
      <c r="O44">
        <f t="shared" si="5"/>
        <v>0.5472007849214382</v>
      </c>
      <c r="P44" s="2">
        <f t="shared" si="6"/>
        <v>1000</v>
      </c>
      <c r="Q44">
        <f t="shared" si="7"/>
        <v>735.68982193151794</v>
      </c>
      <c r="R44">
        <f t="shared" si="8"/>
        <v>955.52658677235172</v>
      </c>
      <c r="S44">
        <f t="shared" si="9"/>
        <v>699.43310657596317</v>
      </c>
      <c r="T44">
        <f t="shared" si="10"/>
        <v>547.20078492143818</v>
      </c>
      <c r="U44" s="2">
        <f t="shared" si="11"/>
        <v>58.823529411764703</v>
      </c>
      <c r="V44">
        <f t="shared" si="12"/>
        <v>43.275871878324587</v>
      </c>
      <c r="W44">
        <f t="shared" si="13"/>
        <v>56.207446280726572</v>
      </c>
      <c r="X44">
        <f t="shared" si="14"/>
        <v>41.143123916233129</v>
      </c>
      <c r="Y44">
        <f t="shared" si="15"/>
        <v>32.188281465966952</v>
      </c>
    </row>
    <row r="45" spans="1:25" x14ac:dyDescent="0.25">
      <c r="A45" t="s">
        <v>69</v>
      </c>
      <c r="B45" t="s">
        <v>119</v>
      </c>
      <c r="C45" t="s">
        <v>121</v>
      </c>
      <c r="D45" t="s">
        <v>130</v>
      </c>
      <c r="E45">
        <v>0</v>
      </c>
      <c r="F45">
        <v>1</v>
      </c>
      <c r="G45">
        <v>1.735689821931518</v>
      </c>
      <c r="H45">
        <v>2.6912164087038697</v>
      </c>
      <c r="I45">
        <v>3.3906495152798328</v>
      </c>
      <c r="J45">
        <v>3.937850300201271</v>
      </c>
      <c r="K45" s="2">
        <v>1</v>
      </c>
      <c r="L45">
        <f t="shared" si="2"/>
        <v>0.735689821931518</v>
      </c>
      <c r="M45">
        <f t="shared" si="3"/>
        <v>0.95552658677235169</v>
      </c>
      <c r="N45">
        <f t="shared" si="4"/>
        <v>0.69943310657596314</v>
      </c>
      <c r="O45">
        <f t="shared" si="5"/>
        <v>0.5472007849214382</v>
      </c>
      <c r="P45" s="2">
        <f t="shared" si="6"/>
        <v>1000</v>
      </c>
      <c r="Q45">
        <f t="shared" si="7"/>
        <v>735.68982193151794</v>
      </c>
      <c r="R45">
        <f t="shared" si="8"/>
        <v>955.52658677235172</v>
      </c>
      <c r="S45">
        <f t="shared" si="9"/>
        <v>699.43310657596317</v>
      </c>
      <c r="T45">
        <f t="shared" si="10"/>
        <v>547.20078492143818</v>
      </c>
      <c r="U45" s="2">
        <f t="shared" si="11"/>
        <v>58.823529411764703</v>
      </c>
      <c r="V45">
        <f t="shared" si="12"/>
        <v>43.275871878324587</v>
      </c>
      <c r="W45">
        <f t="shared" si="13"/>
        <v>56.207446280726572</v>
      </c>
      <c r="X45">
        <f t="shared" si="14"/>
        <v>41.143123916233129</v>
      </c>
      <c r="Y45">
        <f t="shared" si="15"/>
        <v>32.188281465966952</v>
      </c>
    </row>
    <row r="46" spans="1:25" x14ac:dyDescent="0.25">
      <c r="A46" t="s">
        <v>90</v>
      </c>
      <c r="B46" t="s">
        <v>119</v>
      </c>
      <c r="C46" t="s">
        <v>121</v>
      </c>
      <c r="D46" t="s">
        <v>124</v>
      </c>
      <c r="E46">
        <v>0</v>
      </c>
      <c r="F46">
        <v>1</v>
      </c>
      <c r="G46">
        <v>1.735689821931518</v>
      </c>
      <c r="H46">
        <v>2.6912164087038697</v>
      </c>
      <c r="I46">
        <v>3.3906495152798328</v>
      </c>
      <c r="J46">
        <v>3.937850300201271</v>
      </c>
      <c r="K46" s="2">
        <v>1</v>
      </c>
      <c r="L46">
        <f t="shared" si="2"/>
        <v>0.735689821931518</v>
      </c>
      <c r="M46">
        <f t="shared" si="3"/>
        <v>0.95552658677235169</v>
      </c>
      <c r="N46">
        <f t="shared" si="4"/>
        <v>0.69943310657596314</v>
      </c>
      <c r="O46">
        <f t="shared" si="5"/>
        <v>0.5472007849214382</v>
      </c>
      <c r="P46" s="2">
        <f t="shared" si="6"/>
        <v>1000</v>
      </c>
      <c r="Q46">
        <f t="shared" si="7"/>
        <v>735.68982193151794</v>
      </c>
      <c r="R46">
        <f t="shared" si="8"/>
        <v>955.52658677235172</v>
      </c>
      <c r="S46">
        <f t="shared" si="9"/>
        <v>699.43310657596317</v>
      </c>
      <c r="T46">
        <f t="shared" si="10"/>
        <v>547.20078492143818</v>
      </c>
      <c r="U46" s="2">
        <f t="shared" si="11"/>
        <v>58.823529411764703</v>
      </c>
      <c r="V46">
        <f t="shared" si="12"/>
        <v>43.275871878324587</v>
      </c>
      <c r="W46">
        <f t="shared" si="13"/>
        <v>56.207446280726572</v>
      </c>
      <c r="X46">
        <f t="shared" si="14"/>
        <v>41.143123916233129</v>
      </c>
      <c r="Y46">
        <f t="shared" si="15"/>
        <v>32.188281465966952</v>
      </c>
    </row>
    <row r="47" spans="1:25" x14ac:dyDescent="0.25">
      <c r="A47" t="s">
        <v>104</v>
      </c>
      <c r="B47" t="s">
        <v>119</v>
      </c>
      <c r="C47" t="s">
        <v>121</v>
      </c>
      <c r="D47" t="s">
        <v>122</v>
      </c>
      <c r="E47">
        <v>0</v>
      </c>
      <c r="F47">
        <v>1</v>
      </c>
      <c r="G47">
        <v>1.735689821931518</v>
      </c>
      <c r="H47">
        <v>2.6912164087038697</v>
      </c>
      <c r="I47">
        <v>3.3906495152798328</v>
      </c>
      <c r="J47">
        <v>3.937850300201271</v>
      </c>
      <c r="K47" s="2">
        <v>1</v>
      </c>
      <c r="L47">
        <f t="shared" si="2"/>
        <v>0.735689821931518</v>
      </c>
      <c r="M47">
        <f t="shared" si="3"/>
        <v>0.95552658677235169</v>
      </c>
      <c r="N47">
        <f t="shared" si="4"/>
        <v>0.69943310657596314</v>
      </c>
      <c r="O47">
        <f t="shared" si="5"/>
        <v>0.5472007849214382</v>
      </c>
      <c r="P47" s="2">
        <f t="shared" si="6"/>
        <v>1000</v>
      </c>
      <c r="Q47">
        <f t="shared" si="7"/>
        <v>735.68982193151794</v>
      </c>
      <c r="R47">
        <f t="shared" si="8"/>
        <v>955.52658677235172</v>
      </c>
      <c r="S47">
        <f t="shared" si="9"/>
        <v>699.43310657596317</v>
      </c>
      <c r="T47">
        <f t="shared" si="10"/>
        <v>547.20078492143818</v>
      </c>
      <c r="U47" s="2">
        <f t="shared" si="11"/>
        <v>58.823529411764703</v>
      </c>
      <c r="V47">
        <f t="shared" si="12"/>
        <v>43.275871878324587</v>
      </c>
      <c r="W47">
        <f t="shared" si="13"/>
        <v>56.207446280726572</v>
      </c>
      <c r="X47">
        <f t="shared" si="14"/>
        <v>41.143123916233129</v>
      </c>
      <c r="Y47">
        <f t="shared" si="15"/>
        <v>32.188281465966952</v>
      </c>
    </row>
    <row r="48" spans="1:25" x14ac:dyDescent="0.25">
      <c r="A48" t="s">
        <v>110</v>
      </c>
      <c r="B48" t="s">
        <v>119</v>
      </c>
      <c r="C48" t="s">
        <v>121</v>
      </c>
      <c r="D48" t="s">
        <v>124</v>
      </c>
      <c r="E48">
        <v>0</v>
      </c>
      <c r="F48">
        <v>1</v>
      </c>
      <c r="G48">
        <v>1.735689821931518</v>
      </c>
      <c r="H48">
        <v>2.6912164087038697</v>
      </c>
      <c r="I48">
        <v>3.3906495152798328</v>
      </c>
      <c r="J48">
        <v>3.937850300201271</v>
      </c>
      <c r="K48" s="2">
        <v>1</v>
      </c>
      <c r="L48">
        <f t="shared" si="2"/>
        <v>0.735689821931518</v>
      </c>
      <c r="M48">
        <f t="shared" si="3"/>
        <v>0.95552658677235169</v>
      </c>
      <c r="N48">
        <f t="shared" si="4"/>
        <v>0.69943310657596314</v>
      </c>
      <c r="O48">
        <f t="shared" si="5"/>
        <v>0.5472007849214382</v>
      </c>
      <c r="P48" s="2">
        <f t="shared" si="6"/>
        <v>1000</v>
      </c>
      <c r="Q48">
        <f t="shared" si="7"/>
        <v>735.68982193151794</v>
      </c>
      <c r="R48">
        <f t="shared" si="8"/>
        <v>955.52658677235172</v>
      </c>
      <c r="S48">
        <f t="shared" si="9"/>
        <v>699.43310657596317</v>
      </c>
      <c r="T48">
        <f t="shared" si="10"/>
        <v>547.20078492143818</v>
      </c>
      <c r="U48" s="2">
        <f t="shared" si="11"/>
        <v>58.823529411764703</v>
      </c>
      <c r="V48">
        <f t="shared" si="12"/>
        <v>43.275871878324587</v>
      </c>
      <c r="W48">
        <f t="shared" si="13"/>
        <v>56.207446280726572</v>
      </c>
      <c r="X48">
        <f t="shared" si="14"/>
        <v>41.143123916233129</v>
      </c>
      <c r="Y48">
        <f t="shared" si="15"/>
        <v>32.188281465966952</v>
      </c>
    </row>
    <row r="49" spans="1:25" x14ac:dyDescent="0.25">
      <c r="A49" t="s">
        <v>44</v>
      </c>
      <c r="B49" t="s">
        <v>117</v>
      </c>
      <c r="C49" t="s">
        <v>114</v>
      </c>
      <c r="D49" t="s">
        <v>115</v>
      </c>
      <c r="E49">
        <v>0</v>
      </c>
      <c r="F49">
        <v>1</v>
      </c>
      <c r="G49">
        <v>1.735689821931518</v>
      </c>
      <c r="H49">
        <v>2.6912164087038697</v>
      </c>
      <c r="I49">
        <v>3.4006775214540217</v>
      </c>
      <c r="J49">
        <v>3.9523853133177864</v>
      </c>
      <c r="K49" s="2">
        <v>1</v>
      </c>
      <c r="L49">
        <f t="shared" si="2"/>
        <v>0.735689821931518</v>
      </c>
      <c r="M49">
        <f t="shared" si="3"/>
        <v>0.95552658677235169</v>
      </c>
      <c r="N49">
        <f t="shared" si="4"/>
        <v>0.709461112750152</v>
      </c>
      <c r="O49">
        <f t="shared" si="5"/>
        <v>0.55170779186376473</v>
      </c>
      <c r="P49" s="2">
        <f t="shared" si="6"/>
        <v>1000</v>
      </c>
      <c r="Q49">
        <f t="shared" si="7"/>
        <v>735.68982193151794</v>
      </c>
      <c r="R49">
        <f t="shared" si="8"/>
        <v>955.52658677235172</v>
      </c>
      <c r="S49">
        <f t="shared" si="9"/>
        <v>709.46111275015198</v>
      </c>
      <c r="T49">
        <f t="shared" si="10"/>
        <v>551.70779186376478</v>
      </c>
      <c r="U49" s="2">
        <f t="shared" si="11"/>
        <v>58.823529411764703</v>
      </c>
      <c r="V49">
        <f t="shared" si="12"/>
        <v>43.275871878324587</v>
      </c>
      <c r="W49">
        <f t="shared" si="13"/>
        <v>56.207446280726572</v>
      </c>
      <c r="X49">
        <f t="shared" si="14"/>
        <v>41.733006632361878</v>
      </c>
      <c r="Y49">
        <f t="shared" si="15"/>
        <v>32.453399521397927</v>
      </c>
    </row>
    <row r="50" spans="1:25" x14ac:dyDescent="0.25">
      <c r="A50" t="s">
        <v>45</v>
      </c>
      <c r="B50" t="s">
        <v>117</v>
      </c>
      <c r="C50" t="s">
        <v>114</v>
      </c>
      <c r="D50" t="s">
        <v>118</v>
      </c>
      <c r="E50">
        <v>0</v>
      </c>
      <c r="F50">
        <v>1</v>
      </c>
      <c r="G50">
        <v>1.735689821931518</v>
      </c>
      <c r="H50">
        <v>2.6912164087038697</v>
      </c>
      <c r="I50">
        <v>3.4006775214540217</v>
      </c>
      <c r="J50">
        <v>3.9523853133177864</v>
      </c>
      <c r="K50" s="2">
        <v>1</v>
      </c>
      <c r="L50">
        <f t="shared" si="2"/>
        <v>0.735689821931518</v>
      </c>
      <c r="M50">
        <f t="shared" si="3"/>
        <v>0.95552658677235169</v>
      </c>
      <c r="N50">
        <f t="shared" si="4"/>
        <v>0.709461112750152</v>
      </c>
      <c r="O50">
        <f t="shared" si="5"/>
        <v>0.55170779186376473</v>
      </c>
      <c r="P50" s="2">
        <f t="shared" si="6"/>
        <v>1000</v>
      </c>
      <c r="Q50">
        <f t="shared" si="7"/>
        <v>735.68982193151794</v>
      </c>
      <c r="R50">
        <f t="shared" si="8"/>
        <v>955.52658677235172</v>
      </c>
      <c r="S50">
        <f t="shared" si="9"/>
        <v>709.46111275015198</v>
      </c>
      <c r="T50">
        <f t="shared" si="10"/>
        <v>551.70779186376478</v>
      </c>
      <c r="U50" s="2">
        <f t="shared" si="11"/>
        <v>58.823529411764703</v>
      </c>
      <c r="V50">
        <f t="shared" si="12"/>
        <v>43.275871878324587</v>
      </c>
      <c r="W50">
        <f t="shared" si="13"/>
        <v>56.207446280726572</v>
      </c>
      <c r="X50">
        <f t="shared" si="14"/>
        <v>41.733006632361878</v>
      </c>
      <c r="Y50">
        <f t="shared" si="15"/>
        <v>32.453399521397927</v>
      </c>
    </row>
    <row r="51" spans="1:25" x14ac:dyDescent="0.25">
      <c r="A51" t="s">
        <v>62</v>
      </c>
      <c r="B51" t="s">
        <v>117</v>
      </c>
      <c r="C51" t="s">
        <v>114</v>
      </c>
      <c r="D51" t="s">
        <v>116</v>
      </c>
      <c r="E51">
        <v>0</v>
      </c>
      <c r="F51">
        <v>1</v>
      </c>
      <c r="G51">
        <v>1.735689821931518</v>
      </c>
      <c r="H51">
        <v>2.6912164087038697</v>
      </c>
      <c r="I51">
        <v>3.4006775214540217</v>
      </c>
      <c r="J51">
        <v>3.9523853133177864</v>
      </c>
      <c r="K51" s="2">
        <v>1</v>
      </c>
      <c r="L51">
        <f t="shared" si="2"/>
        <v>0.735689821931518</v>
      </c>
      <c r="M51">
        <f t="shared" si="3"/>
        <v>0.95552658677235169</v>
      </c>
      <c r="N51">
        <f t="shared" si="4"/>
        <v>0.709461112750152</v>
      </c>
      <c r="O51">
        <f t="shared" si="5"/>
        <v>0.55170779186376473</v>
      </c>
      <c r="P51" s="2">
        <f t="shared" si="6"/>
        <v>1000</v>
      </c>
      <c r="Q51">
        <f t="shared" si="7"/>
        <v>735.68982193151794</v>
      </c>
      <c r="R51">
        <f t="shared" si="8"/>
        <v>955.52658677235172</v>
      </c>
      <c r="S51">
        <f t="shared" si="9"/>
        <v>709.46111275015198</v>
      </c>
      <c r="T51">
        <f t="shared" si="10"/>
        <v>551.70779186376478</v>
      </c>
      <c r="U51" s="2">
        <f t="shared" si="11"/>
        <v>58.823529411764703</v>
      </c>
      <c r="V51">
        <f t="shared" si="12"/>
        <v>43.275871878324587</v>
      </c>
      <c r="W51">
        <f t="shared" si="13"/>
        <v>56.207446280726572</v>
      </c>
      <c r="X51">
        <f t="shared" si="14"/>
        <v>41.733006632361878</v>
      </c>
      <c r="Y51">
        <f t="shared" si="15"/>
        <v>32.453399521397927</v>
      </c>
    </row>
    <row r="52" spans="1:25" x14ac:dyDescent="0.25">
      <c r="A52" t="s">
        <v>63</v>
      </c>
      <c r="B52" t="s">
        <v>117</v>
      </c>
      <c r="C52" t="s">
        <v>114</v>
      </c>
      <c r="D52" t="s">
        <v>129</v>
      </c>
      <c r="E52">
        <v>0</v>
      </c>
      <c r="F52">
        <v>1</v>
      </c>
      <c r="G52">
        <v>1.735689821931518</v>
      </c>
      <c r="H52">
        <v>2.6912164087038697</v>
      </c>
      <c r="I52">
        <v>3.4006775214540217</v>
      </c>
      <c r="J52">
        <v>3.9523853133177864</v>
      </c>
      <c r="K52" s="2">
        <v>1</v>
      </c>
      <c r="L52">
        <f t="shared" si="2"/>
        <v>0.735689821931518</v>
      </c>
      <c r="M52">
        <f t="shared" si="3"/>
        <v>0.95552658677235169</v>
      </c>
      <c r="N52">
        <f t="shared" si="4"/>
        <v>0.709461112750152</v>
      </c>
      <c r="O52">
        <f t="shared" si="5"/>
        <v>0.55170779186376473</v>
      </c>
      <c r="P52" s="2">
        <f t="shared" si="6"/>
        <v>1000</v>
      </c>
      <c r="Q52">
        <f t="shared" si="7"/>
        <v>735.68982193151794</v>
      </c>
      <c r="R52">
        <f t="shared" si="8"/>
        <v>955.52658677235172</v>
      </c>
      <c r="S52">
        <f t="shared" si="9"/>
        <v>709.46111275015198</v>
      </c>
      <c r="T52">
        <f t="shared" si="10"/>
        <v>551.70779186376478</v>
      </c>
      <c r="U52" s="2">
        <f t="shared" si="11"/>
        <v>58.823529411764703</v>
      </c>
      <c r="V52">
        <f t="shared" si="12"/>
        <v>43.275871878324587</v>
      </c>
      <c r="W52">
        <f t="shared" si="13"/>
        <v>56.207446280726572</v>
      </c>
      <c r="X52">
        <f t="shared" si="14"/>
        <v>41.733006632361878</v>
      </c>
      <c r="Y52">
        <f t="shared" si="15"/>
        <v>32.453399521397927</v>
      </c>
    </row>
    <row r="53" spans="1:25" x14ac:dyDescent="0.25">
      <c r="A53" t="s">
        <v>78</v>
      </c>
      <c r="B53" t="s">
        <v>117</v>
      </c>
      <c r="C53" t="s">
        <v>114</v>
      </c>
      <c r="D53" t="s">
        <v>118</v>
      </c>
      <c r="E53">
        <v>0</v>
      </c>
      <c r="F53">
        <v>1</v>
      </c>
      <c r="G53">
        <v>1.735689821931518</v>
      </c>
      <c r="H53">
        <v>2.6912164087038697</v>
      </c>
      <c r="I53">
        <v>3.4006775214540217</v>
      </c>
      <c r="J53">
        <v>3.9523853133177864</v>
      </c>
      <c r="K53" s="2">
        <v>1</v>
      </c>
      <c r="L53">
        <f t="shared" si="2"/>
        <v>0.735689821931518</v>
      </c>
      <c r="M53">
        <f t="shared" si="3"/>
        <v>0.95552658677235169</v>
      </c>
      <c r="N53">
        <f t="shared" si="4"/>
        <v>0.709461112750152</v>
      </c>
      <c r="O53">
        <f t="shared" si="5"/>
        <v>0.55170779186376473</v>
      </c>
      <c r="P53" s="2">
        <f t="shared" si="6"/>
        <v>1000</v>
      </c>
      <c r="Q53">
        <f t="shared" si="7"/>
        <v>735.68982193151794</v>
      </c>
      <c r="R53">
        <f t="shared" si="8"/>
        <v>955.52658677235172</v>
      </c>
      <c r="S53">
        <f t="shared" si="9"/>
        <v>709.46111275015198</v>
      </c>
      <c r="T53">
        <f t="shared" si="10"/>
        <v>551.70779186376478</v>
      </c>
      <c r="U53" s="2">
        <f t="shared" si="11"/>
        <v>58.823529411764703</v>
      </c>
      <c r="V53">
        <f t="shared" si="12"/>
        <v>43.275871878324587</v>
      </c>
      <c r="W53">
        <f t="shared" si="13"/>
        <v>56.207446280726572</v>
      </c>
      <c r="X53">
        <f t="shared" si="14"/>
        <v>41.733006632361878</v>
      </c>
      <c r="Y53">
        <f t="shared" si="15"/>
        <v>32.453399521397927</v>
      </c>
    </row>
    <row r="54" spans="1:25" x14ac:dyDescent="0.25">
      <c r="A54" t="s">
        <v>85</v>
      </c>
      <c r="B54" t="s">
        <v>117</v>
      </c>
      <c r="C54" t="s">
        <v>114</v>
      </c>
      <c r="D54" t="s">
        <v>115</v>
      </c>
      <c r="E54">
        <v>0</v>
      </c>
      <c r="F54">
        <v>1</v>
      </c>
      <c r="G54">
        <v>1.735689821931518</v>
      </c>
      <c r="H54">
        <v>2.6912164087038697</v>
      </c>
      <c r="I54">
        <v>3.4006775214540217</v>
      </c>
      <c r="J54">
        <v>3.9523853133177864</v>
      </c>
      <c r="K54" s="2">
        <v>1</v>
      </c>
      <c r="L54">
        <f t="shared" si="2"/>
        <v>0.735689821931518</v>
      </c>
      <c r="M54">
        <f t="shared" si="3"/>
        <v>0.95552658677235169</v>
      </c>
      <c r="N54">
        <f t="shared" si="4"/>
        <v>0.709461112750152</v>
      </c>
      <c r="O54">
        <f t="shared" si="5"/>
        <v>0.55170779186376473</v>
      </c>
      <c r="P54" s="2">
        <f t="shared" si="6"/>
        <v>1000</v>
      </c>
      <c r="Q54">
        <f t="shared" si="7"/>
        <v>735.68982193151794</v>
      </c>
      <c r="R54">
        <f t="shared" si="8"/>
        <v>955.52658677235172</v>
      </c>
      <c r="S54">
        <f t="shared" si="9"/>
        <v>709.46111275015198</v>
      </c>
      <c r="T54">
        <f t="shared" si="10"/>
        <v>551.70779186376478</v>
      </c>
      <c r="U54" s="2">
        <f t="shared" si="11"/>
        <v>58.823529411764703</v>
      </c>
      <c r="V54">
        <f t="shared" si="12"/>
        <v>43.275871878324587</v>
      </c>
      <c r="W54">
        <f t="shared" si="13"/>
        <v>56.207446280726572</v>
      </c>
      <c r="X54">
        <f t="shared" si="14"/>
        <v>41.733006632361878</v>
      </c>
      <c r="Y54">
        <f t="shared" si="15"/>
        <v>32.453399521397927</v>
      </c>
    </row>
    <row r="55" spans="1:25" x14ac:dyDescent="0.25">
      <c r="A55" t="s">
        <v>86</v>
      </c>
      <c r="B55" t="s">
        <v>117</v>
      </c>
      <c r="C55" t="s">
        <v>114</v>
      </c>
      <c r="D55" t="s">
        <v>116</v>
      </c>
      <c r="E55">
        <v>0</v>
      </c>
      <c r="F55">
        <v>1</v>
      </c>
      <c r="G55">
        <v>1.735689821931518</v>
      </c>
      <c r="H55">
        <v>2.6912164087038697</v>
      </c>
      <c r="I55">
        <v>3.4006775214540217</v>
      </c>
      <c r="J55">
        <v>3.9523853133177864</v>
      </c>
      <c r="K55" s="2">
        <v>1</v>
      </c>
      <c r="L55">
        <f t="shared" si="2"/>
        <v>0.735689821931518</v>
      </c>
      <c r="M55">
        <f t="shared" si="3"/>
        <v>0.95552658677235169</v>
      </c>
      <c r="N55">
        <f t="shared" si="4"/>
        <v>0.709461112750152</v>
      </c>
      <c r="O55">
        <f t="shared" si="5"/>
        <v>0.55170779186376473</v>
      </c>
      <c r="P55" s="2">
        <f t="shared" si="6"/>
        <v>1000</v>
      </c>
      <c r="Q55">
        <f t="shared" si="7"/>
        <v>735.68982193151794</v>
      </c>
      <c r="R55">
        <f t="shared" si="8"/>
        <v>955.52658677235172</v>
      </c>
      <c r="S55">
        <f t="shared" si="9"/>
        <v>709.46111275015198</v>
      </c>
      <c r="T55">
        <f t="shared" si="10"/>
        <v>551.70779186376478</v>
      </c>
      <c r="U55" s="2">
        <f t="shared" si="11"/>
        <v>58.823529411764703</v>
      </c>
      <c r="V55">
        <f t="shared" si="12"/>
        <v>43.275871878324587</v>
      </c>
      <c r="W55">
        <f t="shared" si="13"/>
        <v>56.207446280726572</v>
      </c>
      <c r="X55">
        <f t="shared" si="14"/>
        <v>41.733006632361878</v>
      </c>
      <c r="Y55">
        <f t="shared" si="15"/>
        <v>32.453399521397927</v>
      </c>
    </row>
    <row r="56" spans="1:25" x14ac:dyDescent="0.25">
      <c r="A56" t="s">
        <v>42</v>
      </c>
      <c r="B56" t="s">
        <v>113</v>
      </c>
      <c r="C56" t="s">
        <v>114</v>
      </c>
      <c r="D56" t="s">
        <v>115</v>
      </c>
      <c r="E56">
        <v>0</v>
      </c>
      <c r="F56">
        <v>1</v>
      </c>
      <c r="G56">
        <v>1.735689821931518</v>
      </c>
      <c r="H56">
        <v>2.6912164087038697</v>
      </c>
      <c r="I56">
        <v>3.4026676558694016</v>
      </c>
      <c r="J56">
        <v>3.9543754477331667</v>
      </c>
      <c r="K56" s="2">
        <v>1</v>
      </c>
      <c r="L56">
        <f t="shared" si="2"/>
        <v>0.735689821931518</v>
      </c>
      <c r="M56">
        <f t="shared" si="3"/>
        <v>0.95552658677235169</v>
      </c>
      <c r="N56">
        <f t="shared" si="4"/>
        <v>0.71145124716553187</v>
      </c>
      <c r="O56">
        <f t="shared" si="5"/>
        <v>0.55170779186376517</v>
      </c>
      <c r="P56" s="2">
        <f t="shared" si="6"/>
        <v>1000</v>
      </c>
      <c r="Q56">
        <f t="shared" si="7"/>
        <v>735.68982193151794</v>
      </c>
      <c r="R56">
        <f t="shared" si="8"/>
        <v>955.52658677235172</v>
      </c>
      <c r="S56">
        <f t="shared" si="9"/>
        <v>711.45124716553187</v>
      </c>
      <c r="T56">
        <f t="shared" si="10"/>
        <v>551.70779186376512</v>
      </c>
      <c r="U56" s="2">
        <f t="shared" si="11"/>
        <v>58.823529411764703</v>
      </c>
      <c r="V56">
        <f t="shared" si="12"/>
        <v>43.275871878324587</v>
      </c>
      <c r="W56">
        <f t="shared" si="13"/>
        <v>56.207446280726572</v>
      </c>
      <c r="X56">
        <f t="shared" si="14"/>
        <v>41.850073362678344</v>
      </c>
      <c r="Y56">
        <f t="shared" si="15"/>
        <v>32.453399521397948</v>
      </c>
    </row>
    <row r="57" spans="1:25" x14ac:dyDescent="0.25">
      <c r="A57" t="s">
        <v>43</v>
      </c>
      <c r="B57" t="s">
        <v>113</v>
      </c>
      <c r="C57" t="s">
        <v>114</v>
      </c>
      <c r="D57" t="s">
        <v>116</v>
      </c>
      <c r="E57">
        <v>0</v>
      </c>
      <c r="F57">
        <v>1</v>
      </c>
      <c r="G57">
        <v>1.735689821931518</v>
      </c>
      <c r="H57">
        <v>2.6912164087038697</v>
      </c>
      <c r="I57">
        <v>3.4026676558694016</v>
      </c>
      <c r="J57">
        <v>3.9543754477331667</v>
      </c>
      <c r="K57" s="2">
        <v>1</v>
      </c>
      <c r="L57">
        <f t="shared" si="2"/>
        <v>0.735689821931518</v>
      </c>
      <c r="M57">
        <f t="shared" si="3"/>
        <v>0.95552658677235169</v>
      </c>
      <c r="N57">
        <f t="shared" si="4"/>
        <v>0.71145124716553187</v>
      </c>
      <c r="O57">
        <f t="shared" si="5"/>
        <v>0.55170779186376517</v>
      </c>
      <c r="P57" s="2">
        <f t="shared" si="6"/>
        <v>1000</v>
      </c>
      <c r="Q57">
        <f t="shared" si="7"/>
        <v>735.68982193151794</v>
      </c>
      <c r="R57">
        <f t="shared" si="8"/>
        <v>955.52658677235172</v>
      </c>
      <c r="S57">
        <f t="shared" si="9"/>
        <v>711.45124716553187</v>
      </c>
      <c r="T57">
        <f t="shared" si="10"/>
        <v>551.70779186376512</v>
      </c>
      <c r="U57" s="2">
        <f t="shared" si="11"/>
        <v>58.823529411764703</v>
      </c>
      <c r="V57">
        <f t="shared" si="12"/>
        <v>43.275871878324587</v>
      </c>
      <c r="W57">
        <f t="shared" si="13"/>
        <v>56.207446280726572</v>
      </c>
      <c r="X57">
        <f t="shared" si="14"/>
        <v>41.850073362678344</v>
      </c>
      <c r="Y57">
        <f t="shared" si="15"/>
        <v>32.453399521397948</v>
      </c>
    </row>
    <row r="58" spans="1:25" x14ac:dyDescent="0.25">
      <c r="A58" t="s">
        <v>60</v>
      </c>
      <c r="B58" t="s">
        <v>113</v>
      </c>
      <c r="C58" t="s">
        <v>114</v>
      </c>
      <c r="D58" t="s">
        <v>118</v>
      </c>
      <c r="E58">
        <v>0</v>
      </c>
      <c r="F58">
        <v>1</v>
      </c>
      <c r="G58">
        <v>1.735689821931518</v>
      </c>
      <c r="H58">
        <v>2.6912164087038697</v>
      </c>
      <c r="I58">
        <v>3.4026676558694016</v>
      </c>
      <c r="J58">
        <v>3.9543754477331667</v>
      </c>
      <c r="K58" s="2">
        <v>1</v>
      </c>
      <c r="L58">
        <f t="shared" si="2"/>
        <v>0.735689821931518</v>
      </c>
      <c r="M58">
        <f t="shared" si="3"/>
        <v>0.95552658677235169</v>
      </c>
      <c r="N58">
        <f t="shared" si="4"/>
        <v>0.71145124716553187</v>
      </c>
      <c r="O58">
        <f t="shared" si="5"/>
        <v>0.55170779186376517</v>
      </c>
      <c r="P58" s="2">
        <f t="shared" si="6"/>
        <v>1000</v>
      </c>
      <c r="Q58">
        <f t="shared" si="7"/>
        <v>735.68982193151794</v>
      </c>
      <c r="R58">
        <f t="shared" si="8"/>
        <v>955.52658677235172</v>
      </c>
      <c r="S58">
        <f t="shared" si="9"/>
        <v>711.45124716553187</v>
      </c>
      <c r="T58">
        <f t="shared" si="10"/>
        <v>551.70779186376512</v>
      </c>
      <c r="U58" s="2">
        <f t="shared" si="11"/>
        <v>58.823529411764703</v>
      </c>
      <c r="V58">
        <f t="shared" si="12"/>
        <v>43.275871878324587</v>
      </c>
      <c r="W58">
        <f t="shared" si="13"/>
        <v>56.207446280726572</v>
      </c>
      <c r="X58">
        <f t="shared" si="14"/>
        <v>41.850073362678344</v>
      </c>
      <c r="Y58">
        <f t="shared" si="15"/>
        <v>32.453399521397948</v>
      </c>
    </row>
    <row r="59" spans="1:25" x14ac:dyDescent="0.25">
      <c r="A59" t="s">
        <v>61</v>
      </c>
      <c r="B59" t="s">
        <v>113</v>
      </c>
      <c r="C59" t="s">
        <v>114</v>
      </c>
      <c r="D59" t="s">
        <v>129</v>
      </c>
      <c r="E59">
        <v>0</v>
      </c>
      <c r="F59">
        <v>1</v>
      </c>
      <c r="G59">
        <v>1.735689821931518</v>
      </c>
      <c r="H59">
        <v>2.6912164087038697</v>
      </c>
      <c r="I59">
        <v>3.4026676558694016</v>
      </c>
      <c r="J59">
        <v>3.9543754477331667</v>
      </c>
      <c r="K59" s="2">
        <v>1</v>
      </c>
      <c r="L59">
        <f t="shared" si="2"/>
        <v>0.735689821931518</v>
      </c>
      <c r="M59">
        <f t="shared" si="3"/>
        <v>0.95552658677235169</v>
      </c>
      <c r="N59">
        <f t="shared" si="4"/>
        <v>0.71145124716553187</v>
      </c>
      <c r="O59">
        <f t="shared" si="5"/>
        <v>0.55170779186376517</v>
      </c>
      <c r="P59" s="2">
        <f t="shared" si="6"/>
        <v>1000</v>
      </c>
      <c r="Q59">
        <f t="shared" si="7"/>
        <v>735.68982193151794</v>
      </c>
      <c r="R59">
        <f t="shared" si="8"/>
        <v>955.52658677235172</v>
      </c>
      <c r="S59">
        <f t="shared" si="9"/>
        <v>711.45124716553187</v>
      </c>
      <c r="T59">
        <f t="shared" si="10"/>
        <v>551.70779186376512</v>
      </c>
      <c r="U59" s="2">
        <f t="shared" si="11"/>
        <v>58.823529411764703</v>
      </c>
      <c r="V59">
        <f t="shared" si="12"/>
        <v>43.275871878324587</v>
      </c>
      <c r="W59">
        <f t="shared" si="13"/>
        <v>56.207446280726572</v>
      </c>
      <c r="X59">
        <f t="shared" si="14"/>
        <v>41.850073362678344</v>
      </c>
      <c r="Y59">
        <f t="shared" si="15"/>
        <v>32.453399521397948</v>
      </c>
    </row>
    <row r="60" spans="1:25" x14ac:dyDescent="0.25">
      <c r="A60" t="s">
        <v>89</v>
      </c>
      <c r="B60" t="s">
        <v>113</v>
      </c>
      <c r="C60" t="s">
        <v>114</v>
      </c>
      <c r="D60" t="s">
        <v>116</v>
      </c>
      <c r="E60">
        <v>0</v>
      </c>
      <c r="F60">
        <v>1</v>
      </c>
      <c r="G60">
        <v>1.735689821931518</v>
      </c>
      <c r="H60">
        <v>2.6912164087038697</v>
      </c>
      <c r="I60">
        <v>3.4026676558694016</v>
      </c>
      <c r="J60">
        <v>3.9543754477331667</v>
      </c>
      <c r="K60" s="2">
        <v>1</v>
      </c>
      <c r="L60">
        <f t="shared" si="2"/>
        <v>0.735689821931518</v>
      </c>
      <c r="M60">
        <f t="shared" si="3"/>
        <v>0.95552658677235169</v>
      </c>
      <c r="N60">
        <f t="shared" si="4"/>
        <v>0.71145124716553187</v>
      </c>
      <c r="O60">
        <f t="shared" si="5"/>
        <v>0.55170779186376517</v>
      </c>
      <c r="P60" s="2">
        <f t="shared" si="6"/>
        <v>1000</v>
      </c>
      <c r="Q60">
        <f t="shared" si="7"/>
        <v>735.68982193151794</v>
      </c>
      <c r="R60">
        <f t="shared" si="8"/>
        <v>955.52658677235172</v>
      </c>
      <c r="S60">
        <f t="shared" si="9"/>
        <v>711.45124716553187</v>
      </c>
      <c r="T60">
        <f t="shared" si="10"/>
        <v>551.70779186376512</v>
      </c>
      <c r="U60" s="2">
        <f t="shared" si="11"/>
        <v>58.823529411764703</v>
      </c>
      <c r="V60">
        <f t="shared" si="12"/>
        <v>43.275871878324587</v>
      </c>
      <c r="W60">
        <f t="shared" si="13"/>
        <v>56.207446280726572</v>
      </c>
      <c r="X60">
        <f t="shared" si="14"/>
        <v>41.850073362678344</v>
      </c>
      <c r="Y60">
        <f t="shared" si="15"/>
        <v>32.453399521397948</v>
      </c>
    </row>
    <row r="61" spans="1:25" x14ac:dyDescent="0.25">
      <c r="A61" t="s">
        <v>101</v>
      </c>
      <c r="B61" t="s">
        <v>113</v>
      </c>
      <c r="C61" t="s">
        <v>114</v>
      </c>
      <c r="D61" t="s">
        <v>129</v>
      </c>
      <c r="E61">
        <v>0</v>
      </c>
      <c r="F61">
        <v>1</v>
      </c>
      <c r="G61">
        <v>1.735689821931518</v>
      </c>
      <c r="H61">
        <v>2.6912164087038697</v>
      </c>
      <c r="I61">
        <v>3.4026676558694016</v>
      </c>
      <c r="J61">
        <v>3.9543754477331667</v>
      </c>
      <c r="K61" s="2">
        <v>1</v>
      </c>
      <c r="L61">
        <f t="shared" si="2"/>
        <v>0.735689821931518</v>
      </c>
      <c r="M61">
        <f t="shared" si="3"/>
        <v>0.95552658677235169</v>
      </c>
      <c r="N61">
        <f t="shared" si="4"/>
        <v>0.71145124716553187</v>
      </c>
      <c r="O61">
        <f t="shared" si="5"/>
        <v>0.55170779186376517</v>
      </c>
      <c r="P61" s="2">
        <f t="shared" si="6"/>
        <v>1000</v>
      </c>
      <c r="Q61">
        <f t="shared" si="7"/>
        <v>735.68982193151794</v>
      </c>
      <c r="R61">
        <f t="shared" si="8"/>
        <v>955.52658677235172</v>
      </c>
      <c r="S61">
        <f t="shared" si="9"/>
        <v>711.45124716553187</v>
      </c>
      <c r="T61">
        <f t="shared" si="10"/>
        <v>551.70779186376512</v>
      </c>
      <c r="U61" s="2">
        <f t="shared" si="11"/>
        <v>58.823529411764703</v>
      </c>
      <c r="V61">
        <f t="shared" si="12"/>
        <v>43.275871878324587</v>
      </c>
      <c r="W61">
        <f t="shared" si="13"/>
        <v>56.207446280726572</v>
      </c>
      <c r="X61">
        <f t="shared" si="14"/>
        <v>41.850073362678344</v>
      </c>
      <c r="Y61">
        <f t="shared" si="15"/>
        <v>32.453399521397948</v>
      </c>
    </row>
    <row r="62" spans="1:25" x14ac:dyDescent="0.25">
      <c r="A62" t="s">
        <v>108</v>
      </c>
      <c r="B62" t="s">
        <v>113</v>
      </c>
      <c r="C62" t="s">
        <v>114</v>
      </c>
      <c r="D62" t="s">
        <v>118</v>
      </c>
      <c r="E62">
        <v>0</v>
      </c>
      <c r="F62">
        <v>1</v>
      </c>
      <c r="G62">
        <v>1.735689821931518</v>
      </c>
      <c r="H62">
        <v>2.6912164087038697</v>
      </c>
      <c r="I62">
        <v>3.4026676558694016</v>
      </c>
      <c r="J62">
        <v>3.9543754477331667</v>
      </c>
      <c r="K62" s="2">
        <v>1</v>
      </c>
      <c r="L62">
        <f t="shared" si="2"/>
        <v>0.735689821931518</v>
      </c>
      <c r="M62">
        <f t="shared" si="3"/>
        <v>0.95552658677235169</v>
      </c>
      <c r="N62">
        <f t="shared" si="4"/>
        <v>0.71145124716553187</v>
      </c>
      <c r="O62">
        <f t="shared" si="5"/>
        <v>0.55170779186376517</v>
      </c>
      <c r="P62" s="2">
        <f t="shared" si="6"/>
        <v>1000</v>
      </c>
      <c r="Q62">
        <f t="shared" si="7"/>
        <v>735.68982193151794</v>
      </c>
      <c r="R62">
        <f t="shared" si="8"/>
        <v>955.52658677235172</v>
      </c>
      <c r="S62">
        <f t="shared" si="9"/>
        <v>711.45124716553187</v>
      </c>
      <c r="T62">
        <f t="shared" si="10"/>
        <v>551.70779186376512</v>
      </c>
      <c r="U62" s="2">
        <f t="shared" si="11"/>
        <v>58.823529411764703</v>
      </c>
      <c r="V62">
        <f t="shared" si="12"/>
        <v>43.275871878324587</v>
      </c>
      <c r="W62">
        <f t="shared" si="13"/>
        <v>56.207446280726572</v>
      </c>
      <c r="X62">
        <f t="shared" si="14"/>
        <v>41.850073362678344</v>
      </c>
      <c r="Y62">
        <f t="shared" si="15"/>
        <v>32.453399521397948</v>
      </c>
    </row>
    <row r="63" spans="1:25" x14ac:dyDescent="0.25">
      <c r="A63" t="s">
        <v>47</v>
      </c>
      <c r="B63" t="s">
        <v>120</v>
      </c>
      <c r="C63" t="s">
        <v>114</v>
      </c>
      <c r="D63" t="s">
        <v>115</v>
      </c>
      <c r="E63">
        <v>0</v>
      </c>
      <c r="F63">
        <v>1</v>
      </c>
      <c r="G63">
        <v>1.735689821931518</v>
      </c>
      <c r="H63">
        <v>2.6912164087038697</v>
      </c>
      <c r="I63">
        <v>3.4041642545088577</v>
      </c>
      <c r="J63">
        <v>3.9558720463726225</v>
      </c>
      <c r="K63" s="2">
        <v>1</v>
      </c>
      <c r="L63">
        <f t="shared" si="2"/>
        <v>0.735689821931518</v>
      </c>
      <c r="M63">
        <f t="shared" si="3"/>
        <v>0.95552658677235169</v>
      </c>
      <c r="N63">
        <f t="shared" si="4"/>
        <v>0.71294784580498805</v>
      </c>
      <c r="O63">
        <f t="shared" si="5"/>
        <v>0.55170779186376473</v>
      </c>
      <c r="P63" s="2">
        <f t="shared" si="6"/>
        <v>1000</v>
      </c>
      <c r="Q63">
        <f t="shared" si="7"/>
        <v>735.68982193151794</v>
      </c>
      <c r="R63">
        <f t="shared" si="8"/>
        <v>955.52658677235172</v>
      </c>
      <c r="S63">
        <f t="shared" si="9"/>
        <v>712.94784580498799</v>
      </c>
      <c r="T63">
        <f t="shared" si="10"/>
        <v>551.70779186376478</v>
      </c>
      <c r="U63" s="2">
        <f t="shared" si="11"/>
        <v>58.823529411764703</v>
      </c>
      <c r="V63">
        <f t="shared" si="12"/>
        <v>43.275871878324587</v>
      </c>
      <c r="W63">
        <f t="shared" si="13"/>
        <v>56.207446280726572</v>
      </c>
      <c r="X63">
        <f t="shared" si="14"/>
        <v>41.938108576764002</v>
      </c>
      <c r="Y63">
        <f t="shared" si="15"/>
        <v>32.453399521397927</v>
      </c>
    </row>
    <row r="64" spans="1:25" x14ac:dyDescent="0.25">
      <c r="A64" t="s">
        <v>64</v>
      </c>
      <c r="B64" t="s">
        <v>120</v>
      </c>
      <c r="C64" t="s">
        <v>114</v>
      </c>
      <c r="D64" t="s">
        <v>116</v>
      </c>
      <c r="E64">
        <v>0</v>
      </c>
      <c r="F64">
        <v>1</v>
      </c>
      <c r="G64">
        <v>1.735689821931518</v>
      </c>
      <c r="H64">
        <v>2.6912164087038697</v>
      </c>
      <c r="I64">
        <v>3.4041642545088577</v>
      </c>
      <c r="J64">
        <v>3.9558720463726225</v>
      </c>
      <c r="K64" s="2">
        <v>1</v>
      </c>
      <c r="L64">
        <f t="shared" si="2"/>
        <v>0.735689821931518</v>
      </c>
      <c r="M64">
        <f t="shared" si="3"/>
        <v>0.95552658677235169</v>
      </c>
      <c r="N64">
        <f t="shared" si="4"/>
        <v>0.71294784580498805</v>
      </c>
      <c r="O64">
        <f t="shared" si="5"/>
        <v>0.55170779186376473</v>
      </c>
      <c r="P64" s="2">
        <f t="shared" si="6"/>
        <v>1000</v>
      </c>
      <c r="Q64">
        <f t="shared" si="7"/>
        <v>735.68982193151794</v>
      </c>
      <c r="R64">
        <f t="shared" si="8"/>
        <v>955.52658677235172</v>
      </c>
      <c r="S64">
        <f t="shared" si="9"/>
        <v>712.94784580498799</v>
      </c>
      <c r="T64">
        <f t="shared" si="10"/>
        <v>551.70779186376478</v>
      </c>
      <c r="U64" s="2">
        <f t="shared" si="11"/>
        <v>58.823529411764703</v>
      </c>
      <c r="V64">
        <f t="shared" si="12"/>
        <v>43.275871878324587</v>
      </c>
      <c r="W64">
        <f t="shared" si="13"/>
        <v>56.207446280726572</v>
      </c>
      <c r="X64">
        <f t="shared" si="14"/>
        <v>41.938108576764002</v>
      </c>
      <c r="Y64">
        <f t="shared" si="15"/>
        <v>32.453399521397927</v>
      </c>
    </row>
    <row r="65" spans="1:25" x14ac:dyDescent="0.25">
      <c r="A65" t="s">
        <v>79</v>
      </c>
      <c r="B65" t="s">
        <v>120</v>
      </c>
      <c r="C65" t="s">
        <v>114</v>
      </c>
      <c r="D65" t="s">
        <v>118</v>
      </c>
      <c r="E65">
        <v>0</v>
      </c>
      <c r="F65">
        <v>1</v>
      </c>
      <c r="G65">
        <v>1.735689821931518</v>
      </c>
      <c r="H65">
        <v>2.6912164087038697</v>
      </c>
      <c r="I65">
        <v>3.4041642545088577</v>
      </c>
      <c r="J65">
        <v>3.9558720463726225</v>
      </c>
      <c r="K65" s="2">
        <v>1</v>
      </c>
      <c r="L65">
        <f t="shared" si="2"/>
        <v>0.735689821931518</v>
      </c>
      <c r="M65">
        <f t="shared" si="3"/>
        <v>0.95552658677235169</v>
      </c>
      <c r="N65">
        <f t="shared" si="4"/>
        <v>0.71294784580498805</v>
      </c>
      <c r="O65">
        <f t="shared" si="5"/>
        <v>0.55170779186376473</v>
      </c>
      <c r="P65" s="2">
        <f t="shared" si="6"/>
        <v>1000</v>
      </c>
      <c r="Q65">
        <f t="shared" si="7"/>
        <v>735.68982193151794</v>
      </c>
      <c r="R65">
        <f t="shared" si="8"/>
        <v>955.52658677235172</v>
      </c>
      <c r="S65">
        <f t="shared" si="9"/>
        <v>712.94784580498799</v>
      </c>
      <c r="T65">
        <f t="shared" si="10"/>
        <v>551.70779186376478</v>
      </c>
      <c r="U65" s="2">
        <f t="shared" si="11"/>
        <v>58.823529411764703</v>
      </c>
      <c r="V65">
        <f t="shared" si="12"/>
        <v>43.275871878324587</v>
      </c>
      <c r="W65">
        <f t="shared" si="13"/>
        <v>56.207446280726572</v>
      </c>
      <c r="X65">
        <f t="shared" si="14"/>
        <v>41.938108576764002</v>
      </c>
      <c r="Y65">
        <f t="shared" si="15"/>
        <v>32.453399521397927</v>
      </c>
    </row>
    <row r="66" spans="1:25" x14ac:dyDescent="0.25">
      <c r="A66" t="s">
        <v>88</v>
      </c>
      <c r="B66" t="s">
        <v>120</v>
      </c>
      <c r="C66" t="s">
        <v>114</v>
      </c>
      <c r="D66" t="s">
        <v>115</v>
      </c>
      <c r="E66">
        <v>0</v>
      </c>
      <c r="F66">
        <v>1</v>
      </c>
      <c r="G66">
        <v>1.735689821931518</v>
      </c>
      <c r="H66">
        <v>2.6912164087038697</v>
      </c>
      <c r="I66">
        <v>3.4041642545088577</v>
      </c>
      <c r="J66">
        <v>3.9558720463726225</v>
      </c>
      <c r="K66" s="2">
        <v>1</v>
      </c>
      <c r="L66">
        <f t="shared" si="2"/>
        <v>0.735689821931518</v>
      </c>
      <c r="M66">
        <f t="shared" si="3"/>
        <v>0.95552658677235169</v>
      </c>
      <c r="N66">
        <f t="shared" si="4"/>
        <v>0.71294784580498805</v>
      </c>
      <c r="O66">
        <f t="shared" si="5"/>
        <v>0.55170779186376473</v>
      </c>
      <c r="P66" s="2">
        <f t="shared" si="6"/>
        <v>1000</v>
      </c>
      <c r="Q66">
        <f t="shared" si="7"/>
        <v>735.68982193151794</v>
      </c>
      <c r="R66">
        <f t="shared" si="8"/>
        <v>955.52658677235172</v>
      </c>
      <c r="S66">
        <f t="shared" si="9"/>
        <v>712.94784580498799</v>
      </c>
      <c r="T66">
        <f t="shared" si="10"/>
        <v>551.70779186376478</v>
      </c>
      <c r="U66" s="2">
        <f t="shared" si="11"/>
        <v>58.823529411764703</v>
      </c>
      <c r="V66">
        <f t="shared" si="12"/>
        <v>43.275871878324587</v>
      </c>
      <c r="W66">
        <f t="shared" si="13"/>
        <v>56.207446280726572</v>
      </c>
      <c r="X66">
        <f t="shared" si="14"/>
        <v>41.938108576764002</v>
      </c>
      <c r="Y66">
        <f t="shared" si="15"/>
        <v>32.453399521397927</v>
      </c>
    </row>
    <row r="67" spans="1:25" x14ac:dyDescent="0.25">
      <c r="A67" t="s">
        <v>100</v>
      </c>
      <c r="B67" t="s">
        <v>120</v>
      </c>
      <c r="C67" t="s">
        <v>114</v>
      </c>
      <c r="D67" t="s">
        <v>129</v>
      </c>
      <c r="E67">
        <v>0</v>
      </c>
      <c r="F67">
        <v>1</v>
      </c>
      <c r="G67">
        <v>1.735689821931518</v>
      </c>
      <c r="H67">
        <v>2.6912164087038697</v>
      </c>
      <c r="I67">
        <v>3.4041642545088577</v>
      </c>
      <c r="J67">
        <v>3.9558720463726225</v>
      </c>
      <c r="K67" s="2">
        <v>1</v>
      </c>
      <c r="L67">
        <f t="shared" ref="L67:L72" si="16">G67-F67</f>
        <v>0.735689821931518</v>
      </c>
      <c r="M67">
        <f t="shared" ref="M67:M72" si="17">H67-G67</f>
        <v>0.95552658677235169</v>
      </c>
      <c r="N67">
        <f t="shared" ref="N67:N72" si="18">I67-H67</f>
        <v>0.71294784580498805</v>
      </c>
      <c r="O67">
        <f t="shared" ref="O67:O72" si="19">J67-I67</f>
        <v>0.55170779186376473</v>
      </c>
      <c r="P67" s="2">
        <f t="shared" ref="P67:P72" si="20">K67*1000</f>
        <v>1000</v>
      </c>
      <c r="Q67">
        <f t="shared" ref="Q67:Q72" si="21">L67*1000</f>
        <v>735.68982193151794</v>
      </c>
      <c r="R67">
        <f t="shared" ref="R67:R72" si="22">M67*1000</f>
        <v>955.52658677235172</v>
      </c>
      <c r="S67">
        <f t="shared" ref="S67:S72" si="23">N67*1000</f>
        <v>712.94784580498799</v>
      </c>
      <c r="T67">
        <f t="shared" ref="T67:T72" si="24">O67*1000</f>
        <v>551.70779186376478</v>
      </c>
      <c r="U67" s="2">
        <f t="shared" ref="U67:U72" si="25">P67/17</f>
        <v>58.823529411764703</v>
      </c>
      <c r="V67">
        <f t="shared" ref="V67:V72" si="26">Q67/17</f>
        <v>43.275871878324587</v>
      </c>
      <c r="W67">
        <f t="shared" ref="W67:W72" si="27">R67/17</f>
        <v>56.207446280726572</v>
      </c>
      <c r="X67">
        <f t="shared" ref="X67:X72" si="28">S67/17</f>
        <v>41.938108576764002</v>
      </c>
      <c r="Y67">
        <f t="shared" ref="Y67:Y72" si="29">T67/17</f>
        <v>32.453399521397927</v>
      </c>
    </row>
    <row r="68" spans="1:25" x14ac:dyDescent="0.25">
      <c r="A68" t="s">
        <v>46</v>
      </c>
      <c r="B68" t="s">
        <v>119</v>
      </c>
      <c r="C68" t="s">
        <v>114</v>
      </c>
      <c r="D68" t="s">
        <v>118</v>
      </c>
      <c r="E68">
        <v>0</v>
      </c>
      <c r="F68">
        <v>1</v>
      </c>
      <c r="G68">
        <v>1.735689821931518</v>
      </c>
      <c r="H68">
        <v>2.6912164087038697</v>
      </c>
      <c r="I68">
        <v>3.3906495152798328</v>
      </c>
      <c r="J68">
        <v>3.942357307143598</v>
      </c>
      <c r="K68" s="2">
        <v>1</v>
      </c>
      <c r="L68">
        <f t="shared" si="16"/>
        <v>0.735689821931518</v>
      </c>
      <c r="M68">
        <f t="shared" si="17"/>
        <v>0.95552658677235169</v>
      </c>
      <c r="N68">
        <f t="shared" si="18"/>
        <v>0.69943310657596314</v>
      </c>
      <c r="O68">
        <f t="shared" si="19"/>
        <v>0.55170779186376517</v>
      </c>
      <c r="P68" s="2">
        <f t="shared" si="20"/>
        <v>1000</v>
      </c>
      <c r="Q68">
        <f t="shared" si="21"/>
        <v>735.68982193151794</v>
      </c>
      <c r="R68">
        <f t="shared" si="22"/>
        <v>955.52658677235172</v>
      </c>
      <c r="S68">
        <f t="shared" si="23"/>
        <v>699.43310657596317</v>
      </c>
      <c r="T68">
        <f t="shared" si="24"/>
        <v>551.70779186376512</v>
      </c>
      <c r="U68" s="2">
        <f t="shared" si="25"/>
        <v>58.823529411764703</v>
      </c>
      <c r="V68">
        <f t="shared" si="26"/>
        <v>43.275871878324587</v>
      </c>
      <c r="W68">
        <f t="shared" si="27"/>
        <v>56.207446280726572</v>
      </c>
      <c r="X68">
        <f t="shared" si="28"/>
        <v>41.143123916233129</v>
      </c>
      <c r="Y68">
        <f t="shared" si="29"/>
        <v>32.453399521397948</v>
      </c>
    </row>
    <row r="69" spans="1:25" x14ac:dyDescent="0.25">
      <c r="A69" t="s">
        <v>65</v>
      </c>
      <c r="B69" t="s">
        <v>119</v>
      </c>
      <c r="C69" t="s">
        <v>114</v>
      </c>
      <c r="D69" t="s">
        <v>129</v>
      </c>
      <c r="E69">
        <v>0</v>
      </c>
      <c r="F69">
        <v>1</v>
      </c>
      <c r="G69">
        <v>1.735689821931518</v>
      </c>
      <c r="H69">
        <v>2.6912164087038697</v>
      </c>
      <c r="I69">
        <v>3.3906495152798328</v>
      </c>
      <c r="J69">
        <v>3.942357307143598</v>
      </c>
      <c r="K69" s="2">
        <v>1</v>
      </c>
      <c r="L69">
        <f t="shared" si="16"/>
        <v>0.735689821931518</v>
      </c>
      <c r="M69">
        <f t="shared" si="17"/>
        <v>0.95552658677235169</v>
      </c>
      <c r="N69">
        <f t="shared" si="18"/>
        <v>0.69943310657596314</v>
      </c>
      <c r="O69">
        <f t="shared" si="19"/>
        <v>0.55170779186376517</v>
      </c>
      <c r="P69" s="2">
        <f t="shared" si="20"/>
        <v>1000</v>
      </c>
      <c r="Q69">
        <f t="shared" si="21"/>
        <v>735.68982193151794</v>
      </c>
      <c r="R69">
        <f t="shared" si="22"/>
        <v>955.52658677235172</v>
      </c>
      <c r="S69">
        <f t="shared" si="23"/>
        <v>699.43310657596317</v>
      </c>
      <c r="T69">
        <f t="shared" si="24"/>
        <v>551.70779186376512</v>
      </c>
      <c r="U69" s="2">
        <f t="shared" si="25"/>
        <v>58.823529411764703</v>
      </c>
      <c r="V69">
        <f t="shared" si="26"/>
        <v>43.275871878324587</v>
      </c>
      <c r="W69">
        <f t="shared" si="27"/>
        <v>56.207446280726572</v>
      </c>
      <c r="X69">
        <f t="shared" si="28"/>
        <v>41.143123916233129</v>
      </c>
      <c r="Y69">
        <f t="shared" si="29"/>
        <v>32.453399521397948</v>
      </c>
    </row>
    <row r="70" spans="1:25" x14ac:dyDescent="0.25">
      <c r="A70" t="s">
        <v>87</v>
      </c>
      <c r="B70" t="s">
        <v>119</v>
      </c>
      <c r="C70" t="s">
        <v>114</v>
      </c>
      <c r="D70" t="s">
        <v>116</v>
      </c>
      <c r="E70">
        <v>0</v>
      </c>
      <c r="F70">
        <v>1</v>
      </c>
      <c r="G70">
        <v>1.735689821931518</v>
      </c>
      <c r="H70">
        <v>2.6912164087038697</v>
      </c>
      <c r="I70">
        <v>3.3906495152798328</v>
      </c>
      <c r="J70">
        <v>3.942357307143598</v>
      </c>
      <c r="K70" s="2">
        <v>1</v>
      </c>
      <c r="L70">
        <f t="shared" si="16"/>
        <v>0.735689821931518</v>
      </c>
      <c r="M70">
        <f t="shared" si="17"/>
        <v>0.95552658677235169</v>
      </c>
      <c r="N70">
        <f t="shared" si="18"/>
        <v>0.69943310657596314</v>
      </c>
      <c r="O70">
        <f t="shared" si="19"/>
        <v>0.55170779186376517</v>
      </c>
      <c r="P70" s="2">
        <f t="shared" si="20"/>
        <v>1000</v>
      </c>
      <c r="Q70">
        <f t="shared" si="21"/>
        <v>735.68982193151794</v>
      </c>
      <c r="R70">
        <f t="shared" si="22"/>
        <v>955.52658677235172</v>
      </c>
      <c r="S70">
        <f t="shared" si="23"/>
        <v>699.43310657596317</v>
      </c>
      <c r="T70">
        <f t="shared" si="24"/>
        <v>551.70779186376512</v>
      </c>
      <c r="U70" s="2">
        <f t="shared" si="25"/>
        <v>58.823529411764703</v>
      </c>
      <c r="V70">
        <f t="shared" si="26"/>
        <v>43.275871878324587</v>
      </c>
      <c r="W70">
        <f t="shared" si="27"/>
        <v>56.207446280726572</v>
      </c>
      <c r="X70">
        <f t="shared" si="28"/>
        <v>41.143123916233129</v>
      </c>
      <c r="Y70">
        <f t="shared" si="29"/>
        <v>32.453399521397948</v>
      </c>
    </row>
    <row r="71" spans="1:25" x14ac:dyDescent="0.25">
      <c r="A71" t="s">
        <v>99</v>
      </c>
      <c r="B71" t="s">
        <v>119</v>
      </c>
      <c r="C71" t="s">
        <v>114</v>
      </c>
      <c r="D71" t="s">
        <v>115</v>
      </c>
      <c r="E71">
        <v>0</v>
      </c>
      <c r="F71">
        <v>1</v>
      </c>
      <c r="G71">
        <v>1.735689821931518</v>
      </c>
      <c r="H71">
        <v>2.6912164087038697</v>
      </c>
      <c r="I71">
        <v>3.3906495152798328</v>
      </c>
      <c r="J71">
        <v>3.942357307143598</v>
      </c>
      <c r="K71" s="2">
        <v>1</v>
      </c>
      <c r="L71">
        <f t="shared" si="16"/>
        <v>0.735689821931518</v>
      </c>
      <c r="M71">
        <f t="shared" si="17"/>
        <v>0.95552658677235169</v>
      </c>
      <c r="N71">
        <f t="shared" si="18"/>
        <v>0.69943310657596314</v>
      </c>
      <c r="O71">
        <f t="shared" si="19"/>
        <v>0.55170779186376517</v>
      </c>
      <c r="P71" s="2">
        <f t="shared" si="20"/>
        <v>1000</v>
      </c>
      <c r="Q71">
        <f t="shared" si="21"/>
        <v>735.68982193151794</v>
      </c>
      <c r="R71">
        <f t="shared" si="22"/>
        <v>955.52658677235172</v>
      </c>
      <c r="S71">
        <f t="shared" si="23"/>
        <v>699.43310657596317</v>
      </c>
      <c r="T71">
        <f t="shared" si="24"/>
        <v>551.70779186376512</v>
      </c>
      <c r="U71" s="2">
        <f t="shared" si="25"/>
        <v>58.823529411764703</v>
      </c>
      <c r="V71">
        <f t="shared" si="26"/>
        <v>43.275871878324587</v>
      </c>
      <c r="W71">
        <f t="shared" si="27"/>
        <v>56.207446280726572</v>
      </c>
      <c r="X71">
        <f t="shared" si="28"/>
        <v>41.143123916233129</v>
      </c>
      <c r="Y71">
        <f t="shared" si="29"/>
        <v>32.453399521397948</v>
      </c>
    </row>
    <row r="72" spans="1:25" x14ac:dyDescent="0.25">
      <c r="A72" t="s">
        <v>107</v>
      </c>
      <c r="B72" t="s">
        <v>119</v>
      </c>
      <c r="C72" t="s">
        <v>114</v>
      </c>
      <c r="D72" t="s">
        <v>116</v>
      </c>
      <c r="E72">
        <v>0</v>
      </c>
      <c r="F72">
        <v>1</v>
      </c>
      <c r="G72">
        <v>1.735689821931518</v>
      </c>
      <c r="H72">
        <v>2.6912164087038697</v>
      </c>
      <c r="I72">
        <v>3.3906495152798328</v>
      </c>
      <c r="J72">
        <v>3.942357307143598</v>
      </c>
      <c r="K72" s="2">
        <v>1</v>
      </c>
      <c r="L72">
        <f t="shared" si="16"/>
        <v>0.735689821931518</v>
      </c>
      <c r="M72">
        <f t="shared" si="17"/>
        <v>0.95552658677235169</v>
      </c>
      <c r="N72">
        <f t="shared" si="18"/>
        <v>0.69943310657596314</v>
      </c>
      <c r="O72">
        <f t="shared" si="19"/>
        <v>0.55170779186376517</v>
      </c>
      <c r="P72" s="2">
        <f t="shared" si="20"/>
        <v>1000</v>
      </c>
      <c r="Q72">
        <f t="shared" si="21"/>
        <v>735.68982193151794</v>
      </c>
      <c r="R72">
        <f t="shared" si="22"/>
        <v>955.52658677235172</v>
      </c>
      <c r="S72">
        <f t="shared" si="23"/>
        <v>699.43310657596317</v>
      </c>
      <c r="T72">
        <f t="shared" si="24"/>
        <v>551.70779186376512</v>
      </c>
      <c r="U72" s="2">
        <f t="shared" si="25"/>
        <v>58.823529411764703</v>
      </c>
      <c r="V72">
        <f t="shared" si="26"/>
        <v>43.275871878324587</v>
      </c>
      <c r="W72">
        <f t="shared" si="27"/>
        <v>56.207446280726572</v>
      </c>
      <c r="X72">
        <f t="shared" si="28"/>
        <v>41.143123916233129</v>
      </c>
      <c r="Y72">
        <f t="shared" si="29"/>
        <v>32.453399521397948</v>
      </c>
    </row>
    <row r="73" spans="1:25" x14ac:dyDescent="0.25">
      <c r="T73" t="s">
        <v>155</v>
      </c>
      <c r="U73" s="4">
        <f>AVERAGE(U2:U72)</f>
        <v>58.823529411764774</v>
      </c>
      <c r="V73" s="4">
        <f t="shared" ref="V73:Y73" si="30">AVERAGE(V2:V72)</f>
        <v>43.275871878324637</v>
      </c>
      <c r="W73" s="4">
        <f t="shared" si="30"/>
        <v>56.207446280726685</v>
      </c>
      <c r="X73" s="4">
        <f t="shared" si="30"/>
        <v>41.678913944215772</v>
      </c>
      <c r="Y73" s="4">
        <f t="shared" si="30"/>
        <v>32.369966825655311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duration</vt:lpstr>
      <vt:lpstr>calculation</vt:lpstr>
      <vt:lpstr>17ms time stamp</vt:lpstr>
      <vt:lpstr>average duration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Chao Sun</dc:creator>
  <cp:lastModifiedBy>PaLS</cp:lastModifiedBy>
  <dcterms:created xsi:type="dcterms:W3CDTF">2016-06-29T17:06:54Z</dcterms:created>
  <dcterms:modified xsi:type="dcterms:W3CDTF">2016-09-13T09:14:47Z</dcterms:modified>
</cp:coreProperties>
</file>